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hkhanter/Desktop/NEU ACADEMICS/3rd Sem/IB/Tiffany/"/>
    </mc:Choice>
  </mc:AlternateContent>
  <xr:revisionPtr revIDLastSave="0" documentId="13_ncr:1_{6EB9CA01-8C4E-2449-96C8-E6095420A0DC}" xr6:coauthVersionLast="47" xr6:coauthVersionMax="47" xr10:uidLastSave="{00000000-0000-0000-0000-000000000000}"/>
  <bookViews>
    <workbookView xWindow="0" yWindow="0" windowWidth="28800" windowHeight="18000" activeTab="3" xr2:uid="{07A429AE-75A8-1245-B093-CC3771934005}"/>
  </bookViews>
  <sheets>
    <sheet name="Financial Statement (Ex-12)" sheetId="1" r:id="rId1"/>
    <sheet name="Comparable Comps" sheetId="3" r:id="rId2"/>
    <sheet name="Financial Forecast (Ex-13)" sheetId="2" r:id="rId3"/>
    <sheet name="WACC" sheetId="5" r:id="rId4"/>
    <sheet name="DCF" sheetId="4" r:id="rId5"/>
    <sheet name="Comparable Comps Valuation" sheetId="6" r:id="rId6"/>
    <sheet name="Valuation Analysis" sheetId="7" r:id="rId7"/>
  </sheets>
  <definedNames>
    <definedName name="_xlchart.v2.0" hidden="1">'Valuation Analysis'!$B$14</definedName>
    <definedName name="_xlchart.v2.1" hidden="1">'Valuation Analysis'!$B$15</definedName>
    <definedName name="_xlchart.v2.10" hidden="1">'Valuation Analysis'!$C$18:$F$18</definedName>
    <definedName name="_xlchart.v2.11" hidden="1">'Valuation Analysis'!$B$14:$B$18</definedName>
    <definedName name="_xlchart.v2.12" hidden="1">'Valuation Analysis'!$C$13</definedName>
    <definedName name="_xlchart.v2.13" hidden="1">'Valuation Analysis'!$C$14:$C$18</definedName>
    <definedName name="_xlchart.v2.14" hidden="1">'Valuation Analysis'!$D$13</definedName>
    <definedName name="_xlchart.v2.15" hidden="1">'Valuation Analysis'!$D$14:$D$18</definedName>
    <definedName name="_xlchart.v2.16" hidden="1">'Valuation Analysis'!$E$13</definedName>
    <definedName name="_xlchart.v2.17" hidden="1">'Valuation Analysis'!$E$14:$E$18</definedName>
    <definedName name="_xlchart.v2.18" hidden="1">'Valuation Analysis'!$F$13</definedName>
    <definedName name="_xlchart.v2.19" hidden="1">'Valuation Analysis'!$F$14:$F$18</definedName>
    <definedName name="_xlchart.v2.2" hidden="1">'Valuation Analysis'!$B$16</definedName>
    <definedName name="_xlchart.v2.20" hidden="1">'Valuation Analysis'!$B$5:$B$9</definedName>
    <definedName name="_xlchart.v2.21" hidden="1">'Valuation Analysis'!$D$4</definedName>
    <definedName name="_xlchart.v2.22" hidden="1">'Valuation Analysis'!$D$5:$D$9</definedName>
    <definedName name="_xlchart.v2.23" hidden="1">'Valuation Analysis'!$B$14:$B$18</definedName>
    <definedName name="_xlchart.v2.24" hidden="1">'Valuation Analysis'!$D$13</definedName>
    <definedName name="_xlchart.v2.25" hidden="1">'Valuation Analysis'!$D$14:$D$18</definedName>
    <definedName name="_xlchart.v2.26" hidden="1">'Valuation Analysis'!$E$13</definedName>
    <definedName name="_xlchart.v2.27" hidden="1">'Valuation Analysis'!$E$14:$E$18</definedName>
    <definedName name="_xlchart.v2.28" hidden="1">'Valuation Analysis'!$F$13</definedName>
    <definedName name="_xlchart.v2.29" hidden="1">'Valuation Analysis'!$F$14:$F$18</definedName>
    <definedName name="_xlchart.v2.3" hidden="1">'Valuation Analysis'!$B$17</definedName>
    <definedName name="_xlchart.v2.30" hidden="1">'Valuation Analysis'!$B$14:$B$18</definedName>
    <definedName name="_xlchart.v2.31" hidden="1">'Valuation Analysis'!$C$13</definedName>
    <definedName name="_xlchart.v2.32" hidden="1">'Valuation Analysis'!$C$14:$C$18</definedName>
    <definedName name="_xlchart.v2.33" hidden="1">'Valuation Analysis'!$D$13</definedName>
    <definedName name="_xlchart.v2.34" hidden="1">'Valuation Analysis'!$D$14:$D$18</definedName>
    <definedName name="_xlchart.v2.35" hidden="1">'Valuation Analysis'!$E$13</definedName>
    <definedName name="_xlchart.v2.36" hidden="1">'Valuation Analysis'!$E$14:$E$18</definedName>
    <definedName name="_xlchart.v2.37" hidden="1">'Valuation Analysis'!$F$13</definedName>
    <definedName name="_xlchart.v2.38" hidden="1">'Valuation Analysis'!$F$14:$F$18</definedName>
    <definedName name="_xlchart.v2.4" hidden="1">'Valuation Analysis'!$B$18</definedName>
    <definedName name="_xlchart.v2.5" hidden="1">'Valuation Analysis'!$C$13:$F$13</definedName>
    <definedName name="_xlchart.v2.6" hidden="1">'Valuation Analysis'!$C$14:$F$14</definedName>
    <definedName name="_xlchart.v2.7" hidden="1">'Valuation Analysis'!$C$15:$F$15</definedName>
    <definedName name="_xlchart.v2.8" hidden="1">'Valuation Analysis'!$C$16:$F$16</definedName>
    <definedName name="_xlchart.v2.9" hidden="1">'Valuation Analysis'!$C$17:$F$17</definedName>
    <definedName name="solver_eng" localSheetId="4" hidden="1">1</definedName>
    <definedName name="solver_lin" localSheetId="4" hidden="1">2</definedName>
    <definedName name="solver_neg" localSheetId="4" hidden="1">1</definedName>
    <definedName name="solver_num" localSheetId="4" hidden="1">0</definedName>
    <definedName name="solver_opt" localSheetId="4" hidden="1">DCF!$F$35</definedName>
    <definedName name="solver_typ" localSheetId="4" hidden="1">1</definedName>
    <definedName name="solver_val" localSheetId="4" hidden="1">0</definedName>
    <definedName name="solver_ver" localSheetId="4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7" l="1"/>
  <c r="D23" i="7"/>
  <c r="E17" i="7" l="1"/>
  <c r="F17" i="7" s="1"/>
  <c r="E16" i="7"/>
  <c r="F16" i="7" s="1"/>
  <c r="D14" i="7"/>
  <c r="C5" i="7"/>
  <c r="E14" i="7" s="1"/>
  <c r="F14" i="7" s="1"/>
  <c r="C6" i="7"/>
  <c r="E15" i="7" s="1"/>
  <c r="F15" i="7" s="1"/>
  <c r="C7" i="7"/>
  <c r="C8" i="7"/>
  <c r="C9" i="7"/>
  <c r="E18" i="7" s="1"/>
  <c r="F18" i="7" s="1"/>
  <c r="E5" i="7"/>
  <c r="E6" i="7"/>
  <c r="D15" i="7" s="1"/>
  <c r="E7" i="7"/>
  <c r="D16" i="7" s="1"/>
  <c r="E8" i="7"/>
  <c r="D17" i="7" s="1"/>
  <c r="E9" i="7"/>
  <c r="D18" i="7" s="1"/>
  <c r="F10" i="7"/>
  <c r="D9" i="7" l="1"/>
  <c r="C18" i="7" s="1"/>
  <c r="D8" i="7"/>
  <c r="C17" i="7" s="1"/>
  <c r="D7" i="7"/>
  <c r="C16" i="7" s="1"/>
  <c r="R43" i="6"/>
  <c r="Q40" i="6"/>
  <c r="P40" i="6"/>
  <c r="O42" i="6"/>
  <c r="O41" i="6"/>
  <c r="P41" i="6" s="1"/>
  <c r="Q41" i="6" s="1"/>
  <c r="R41" i="6" s="1"/>
  <c r="O40" i="6"/>
  <c r="R44" i="6"/>
  <c r="P42" i="6"/>
  <c r="R33" i="6"/>
  <c r="R34" i="6"/>
  <c r="R35" i="6"/>
  <c r="R36" i="6"/>
  <c r="R37" i="6" s="1"/>
  <c r="Q36" i="6"/>
  <c r="P36" i="6"/>
  <c r="Q35" i="6"/>
  <c r="P35" i="6"/>
  <c r="Q34" i="6"/>
  <c r="P34" i="6"/>
  <c r="Q33" i="6"/>
  <c r="P33" i="6"/>
  <c r="Q37" i="6"/>
  <c r="P37" i="6"/>
  <c r="O36" i="6"/>
  <c r="O37" i="6" s="1"/>
  <c r="O35" i="6"/>
  <c r="O34" i="6"/>
  <c r="O33" i="6"/>
  <c r="R22" i="6"/>
  <c r="Q22" i="6"/>
  <c r="P22" i="6"/>
  <c r="O22" i="6"/>
  <c r="R21" i="6"/>
  <c r="Q21" i="6"/>
  <c r="P21" i="6"/>
  <c r="O21" i="6"/>
  <c r="D5" i="7"/>
  <c r="C14" i="7" s="1"/>
  <c r="Q42" i="6" l="1"/>
  <c r="R42" i="6" s="1"/>
  <c r="P43" i="6"/>
  <c r="P44" i="6" s="1"/>
  <c r="O43" i="6"/>
  <c r="O44" i="6" s="1"/>
  <c r="R40" i="6"/>
  <c r="O21" i="2"/>
  <c r="O20" i="2"/>
  <c r="O19" i="2"/>
  <c r="O18" i="2"/>
  <c r="N23" i="2"/>
  <c r="N21" i="2"/>
  <c r="N20" i="2"/>
  <c r="N19" i="2"/>
  <c r="N18" i="2"/>
  <c r="Q43" i="6" l="1"/>
  <c r="Q44" i="6" s="1"/>
  <c r="G16" i="6"/>
  <c r="O28" i="6" s="1"/>
  <c r="P28" i="6" s="1"/>
  <c r="Q28" i="6" s="1"/>
  <c r="R28" i="6" s="1"/>
  <c r="F16" i="6" l="1"/>
  <c r="O27" i="6" s="1"/>
  <c r="P27" i="6" s="1"/>
  <c r="Q27" i="6" s="1"/>
  <c r="R27" i="6" s="1"/>
  <c r="F15" i="6"/>
  <c r="F14" i="6"/>
  <c r="F13" i="6"/>
  <c r="F12" i="6"/>
  <c r="F11" i="6"/>
  <c r="F10" i="6"/>
  <c r="F9" i="6"/>
  <c r="F8" i="6"/>
  <c r="D16" i="6"/>
  <c r="D15" i="6"/>
  <c r="D14" i="6"/>
  <c r="D13" i="6"/>
  <c r="D12" i="6"/>
  <c r="D11" i="6"/>
  <c r="D10" i="6"/>
  <c r="D9" i="6"/>
  <c r="D8" i="6"/>
  <c r="C16" i="6"/>
  <c r="E16" i="6" s="1"/>
  <c r="C15" i="6"/>
  <c r="E15" i="6" s="1"/>
  <c r="C14" i="6"/>
  <c r="E14" i="6" s="1"/>
  <c r="C13" i="6"/>
  <c r="C12" i="6"/>
  <c r="C11" i="6"/>
  <c r="C10" i="6"/>
  <c r="C9" i="6"/>
  <c r="E9" i="6" s="1"/>
  <c r="C8" i="6"/>
  <c r="E8" i="6" s="1"/>
  <c r="M16" i="6"/>
  <c r="L16" i="6"/>
  <c r="K16" i="6"/>
  <c r="J16" i="6"/>
  <c r="B16" i="6"/>
  <c r="M15" i="6"/>
  <c r="L15" i="6"/>
  <c r="K15" i="6"/>
  <c r="J15" i="6"/>
  <c r="B15" i="6"/>
  <c r="M14" i="6"/>
  <c r="L14" i="6"/>
  <c r="K14" i="6"/>
  <c r="J14" i="6"/>
  <c r="B14" i="6"/>
  <c r="M13" i="6"/>
  <c r="L13" i="6"/>
  <c r="K13" i="6"/>
  <c r="J13" i="6"/>
  <c r="B13" i="6"/>
  <c r="M12" i="6"/>
  <c r="L12" i="6"/>
  <c r="K12" i="6"/>
  <c r="J12" i="6"/>
  <c r="B12" i="6"/>
  <c r="M11" i="6"/>
  <c r="L11" i="6"/>
  <c r="K11" i="6"/>
  <c r="J11" i="6"/>
  <c r="B11" i="6"/>
  <c r="M10" i="6"/>
  <c r="L10" i="6"/>
  <c r="K10" i="6"/>
  <c r="J10" i="6"/>
  <c r="B10" i="6"/>
  <c r="M9" i="6"/>
  <c r="L9" i="6"/>
  <c r="K9" i="6"/>
  <c r="J9" i="6"/>
  <c r="B9" i="6"/>
  <c r="M8" i="6"/>
  <c r="L8" i="6"/>
  <c r="K8" i="6"/>
  <c r="J8" i="6"/>
  <c r="B8" i="6"/>
  <c r="C38" i="4"/>
  <c r="C36" i="4"/>
  <c r="C35" i="4"/>
  <c r="R15" i="6" l="1"/>
  <c r="H15" i="6"/>
  <c r="R8" i="6"/>
  <c r="H8" i="6"/>
  <c r="R16" i="6"/>
  <c r="H16" i="6"/>
  <c r="H14" i="6"/>
  <c r="R14" i="6"/>
  <c r="R9" i="6"/>
  <c r="H9" i="6"/>
  <c r="E13" i="6"/>
  <c r="E12" i="6"/>
  <c r="E10" i="6"/>
  <c r="E11" i="6"/>
  <c r="D15" i="4"/>
  <c r="E44" i="5"/>
  <c r="E42" i="5"/>
  <c r="E39" i="5"/>
  <c r="E41" i="5"/>
  <c r="E38" i="5"/>
  <c r="K23" i="5"/>
  <c r="K25" i="5" s="1"/>
  <c r="K33" i="5"/>
  <c r="K31" i="5"/>
  <c r="K30" i="5"/>
  <c r="K29" i="5"/>
  <c r="D33" i="5"/>
  <c r="E33" i="5"/>
  <c r="E29" i="5"/>
  <c r="D31" i="5"/>
  <c r="D30" i="5"/>
  <c r="D29" i="5"/>
  <c r="C31" i="5"/>
  <c r="C30" i="5"/>
  <c r="C29" i="5"/>
  <c r="Q14" i="6" l="1"/>
  <c r="P14" i="6"/>
  <c r="O14" i="6"/>
  <c r="Q16" i="6"/>
  <c r="P16" i="6"/>
  <c r="O16" i="6"/>
  <c r="Q9" i="6"/>
  <c r="P9" i="6"/>
  <c r="O9" i="6"/>
  <c r="H11" i="6"/>
  <c r="R11" i="6"/>
  <c r="R10" i="6"/>
  <c r="H10" i="6"/>
  <c r="H12" i="6"/>
  <c r="R12" i="6"/>
  <c r="R20" i="6" s="1"/>
  <c r="Q8" i="6"/>
  <c r="P8" i="6"/>
  <c r="O8" i="6"/>
  <c r="H13" i="6"/>
  <c r="R13" i="6"/>
  <c r="R19" i="6"/>
  <c r="R29" i="6" s="1"/>
  <c r="O15" i="6"/>
  <c r="Q15" i="6"/>
  <c r="P15" i="6"/>
  <c r="E31" i="5"/>
  <c r="E30" i="5" s="1"/>
  <c r="C25" i="5"/>
  <c r="J15" i="5"/>
  <c r="J14" i="5"/>
  <c r="J13" i="5"/>
  <c r="J12" i="5"/>
  <c r="J11" i="5"/>
  <c r="J10" i="5"/>
  <c r="J9" i="5"/>
  <c r="J8" i="5"/>
  <c r="J7" i="5"/>
  <c r="J18" i="5" s="1"/>
  <c r="F15" i="5"/>
  <c r="F14" i="5"/>
  <c r="F13" i="5"/>
  <c r="H13" i="5" s="1"/>
  <c r="K13" i="5" s="1"/>
  <c r="F12" i="5"/>
  <c r="H12" i="5" s="1"/>
  <c r="K12" i="5" s="1"/>
  <c r="F11" i="5"/>
  <c r="H11" i="5" s="1"/>
  <c r="K11" i="5" s="1"/>
  <c r="F10" i="5"/>
  <c r="F9" i="5"/>
  <c r="F8" i="5"/>
  <c r="F7" i="5"/>
  <c r="E12" i="5"/>
  <c r="G12" i="5" s="1"/>
  <c r="I12" i="5" s="1"/>
  <c r="E11" i="5"/>
  <c r="G11" i="5" s="1"/>
  <c r="I11" i="5" s="1"/>
  <c r="D15" i="5"/>
  <c r="C15" i="5"/>
  <c r="E15" i="5" s="1"/>
  <c r="D14" i="5"/>
  <c r="C14" i="5"/>
  <c r="E14" i="5" s="1"/>
  <c r="D13" i="5"/>
  <c r="C13" i="5"/>
  <c r="E13" i="5" s="1"/>
  <c r="G13" i="5" s="1"/>
  <c r="I13" i="5" s="1"/>
  <c r="D12" i="5"/>
  <c r="C12" i="5"/>
  <c r="D11" i="5"/>
  <c r="C11" i="5"/>
  <c r="D10" i="5"/>
  <c r="C10" i="5"/>
  <c r="E10" i="5" s="1"/>
  <c r="G10" i="5" s="1"/>
  <c r="I10" i="5" s="1"/>
  <c r="D9" i="5"/>
  <c r="C9" i="5"/>
  <c r="E9" i="5" s="1"/>
  <c r="D8" i="5"/>
  <c r="C8" i="5"/>
  <c r="E8" i="5" s="1"/>
  <c r="D7" i="5"/>
  <c r="C7" i="5"/>
  <c r="E7" i="5" s="1"/>
  <c r="E14" i="4"/>
  <c r="E15" i="4" s="1"/>
  <c r="D45" i="2"/>
  <c r="L45" i="2"/>
  <c r="K45" i="2"/>
  <c r="J45" i="2"/>
  <c r="I45" i="2"/>
  <c r="H45" i="2"/>
  <c r="G45" i="2"/>
  <c r="F45" i="2"/>
  <c r="E45" i="2"/>
  <c r="L48" i="2"/>
  <c r="K48" i="2"/>
  <c r="J48" i="2"/>
  <c r="I48" i="2"/>
  <c r="H48" i="2"/>
  <c r="G48" i="2"/>
  <c r="F48" i="2"/>
  <c r="E48" i="2"/>
  <c r="D48" i="2"/>
  <c r="K8" i="4"/>
  <c r="J8" i="4"/>
  <c r="I8" i="4"/>
  <c r="H8" i="4"/>
  <c r="G8" i="4"/>
  <c r="F8" i="4"/>
  <c r="E8" i="4"/>
  <c r="D8" i="4"/>
  <c r="C8" i="4"/>
  <c r="D6" i="4"/>
  <c r="E6" i="4" s="1"/>
  <c r="F6" i="4" s="1"/>
  <c r="G6" i="4" s="1"/>
  <c r="H6" i="4" s="1"/>
  <c r="I6" i="4" s="1"/>
  <c r="J6" i="4" s="1"/>
  <c r="K6" i="4" s="1"/>
  <c r="K5" i="4"/>
  <c r="J5" i="4"/>
  <c r="I5" i="4"/>
  <c r="H5" i="4"/>
  <c r="G5" i="4"/>
  <c r="F5" i="4"/>
  <c r="E5" i="4"/>
  <c r="D5" i="4"/>
  <c r="D7" i="4" s="1"/>
  <c r="C5" i="4"/>
  <c r="C7" i="4" s="1"/>
  <c r="K4" i="4"/>
  <c r="J4" i="4"/>
  <c r="I4" i="4"/>
  <c r="H4" i="4"/>
  <c r="G4" i="4"/>
  <c r="F4" i="4"/>
  <c r="E4" i="4"/>
  <c r="D4" i="4"/>
  <c r="C4" i="4"/>
  <c r="L44" i="2"/>
  <c r="K10" i="4" s="1"/>
  <c r="K44" i="2"/>
  <c r="J10" i="4" s="1"/>
  <c r="J44" i="2"/>
  <c r="I10" i="4" s="1"/>
  <c r="I44" i="2"/>
  <c r="H10" i="4" s="1"/>
  <c r="H44" i="2"/>
  <c r="G10" i="4" s="1"/>
  <c r="G44" i="2"/>
  <c r="F10" i="4" s="1"/>
  <c r="F44" i="2"/>
  <c r="E10" i="4" s="1"/>
  <c r="E44" i="2"/>
  <c r="D10" i="4" s="1"/>
  <c r="D44" i="2"/>
  <c r="C10" i="4" s="1"/>
  <c r="R30" i="6" l="1"/>
  <c r="R26" i="6"/>
  <c r="Q13" i="6"/>
  <c r="P13" i="6"/>
  <c r="O13" i="6"/>
  <c r="P12" i="6"/>
  <c r="O12" i="6"/>
  <c r="Q12" i="6"/>
  <c r="Q10" i="6"/>
  <c r="P10" i="6"/>
  <c r="O10" i="6"/>
  <c r="Q11" i="6"/>
  <c r="P11" i="6"/>
  <c r="O11" i="6"/>
  <c r="O19" i="6" s="1"/>
  <c r="O26" i="6" s="1"/>
  <c r="O29" i="6" s="1"/>
  <c r="O30" i="6" s="1"/>
  <c r="D6" i="7" s="1"/>
  <c r="L46" i="2"/>
  <c r="K9" i="4"/>
  <c r="J9" i="4"/>
  <c r="K46" i="2"/>
  <c r="D9" i="4"/>
  <c r="D12" i="4" s="1"/>
  <c r="D17" i="4" s="1"/>
  <c r="E46" i="2"/>
  <c r="D46" i="2"/>
  <c r="C9" i="4"/>
  <c r="C12" i="4" s="1"/>
  <c r="E7" i="4"/>
  <c r="I46" i="2"/>
  <c r="H9" i="4"/>
  <c r="F46" i="2"/>
  <c r="E9" i="4"/>
  <c r="E12" i="4" s="1"/>
  <c r="E17" i="4" s="1"/>
  <c r="G9" i="4"/>
  <c r="H46" i="2"/>
  <c r="J46" i="2"/>
  <c r="I9" i="4"/>
  <c r="F9" i="4"/>
  <c r="G46" i="2"/>
  <c r="K7" i="4"/>
  <c r="K12" i="4" s="1"/>
  <c r="C24" i="4" s="1"/>
  <c r="C25" i="4" s="1"/>
  <c r="H7" i="4"/>
  <c r="H12" i="4" s="1"/>
  <c r="F7" i="4"/>
  <c r="F14" i="4"/>
  <c r="G7" i="4"/>
  <c r="H10" i="5"/>
  <c r="K10" i="5" s="1"/>
  <c r="H7" i="5"/>
  <c r="G7" i="5"/>
  <c r="I7" i="5" s="1"/>
  <c r="G14" i="5"/>
  <c r="I14" i="5" s="1"/>
  <c r="H14" i="5"/>
  <c r="K14" i="5" s="1"/>
  <c r="G8" i="5"/>
  <c r="I8" i="5" s="1"/>
  <c r="H8" i="5"/>
  <c r="K8" i="5" s="1"/>
  <c r="H9" i="5"/>
  <c r="G9" i="5"/>
  <c r="I9" i="5" s="1"/>
  <c r="H15" i="5"/>
  <c r="K15" i="5" s="1"/>
  <c r="G15" i="5"/>
  <c r="I15" i="5" s="1"/>
  <c r="K7" i="5"/>
  <c r="J17" i="5"/>
  <c r="I18" i="5"/>
  <c r="I17" i="5"/>
  <c r="K9" i="5"/>
  <c r="J7" i="4"/>
  <c r="I7" i="4"/>
  <c r="I12" i="4" s="1"/>
  <c r="D10" i="7" l="1"/>
  <c r="D24" i="7" s="1"/>
  <c r="C15" i="7"/>
  <c r="P19" i="6"/>
  <c r="P26" i="6" s="1"/>
  <c r="P29" i="6" s="1"/>
  <c r="P30" i="6" s="1"/>
  <c r="Q20" i="6"/>
  <c r="O20" i="6"/>
  <c r="P20" i="6"/>
  <c r="Q19" i="6"/>
  <c r="Q26" i="6" s="1"/>
  <c r="Q29" i="6" s="1"/>
  <c r="Q30" i="6" s="1"/>
  <c r="J12" i="4"/>
  <c r="G12" i="4"/>
  <c r="F12" i="4"/>
  <c r="G14" i="4"/>
  <c r="F15" i="4"/>
  <c r="F17" i="4" s="1"/>
  <c r="K17" i="5"/>
  <c r="H17" i="5"/>
  <c r="H18" i="5"/>
  <c r="K18" i="5"/>
  <c r="H14" i="4" l="1"/>
  <c r="G15" i="4"/>
  <c r="G17" i="4" s="1"/>
  <c r="I14" i="4" l="1"/>
  <c r="H15" i="4"/>
  <c r="H17" i="4" s="1"/>
  <c r="J14" i="4" l="1"/>
  <c r="I15" i="4"/>
  <c r="I17" i="4" s="1"/>
  <c r="K14" i="4" l="1"/>
  <c r="J15" i="4"/>
  <c r="J17" i="4" s="1"/>
  <c r="K15" i="4" l="1"/>
  <c r="K17" i="4" s="1"/>
  <c r="C29" i="4" s="1"/>
  <c r="L14" i="4"/>
  <c r="L15" i="4" s="1"/>
  <c r="C26" i="4" s="1"/>
  <c r="C30" i="4" s="1"/>
  <c r="C31" i="4" l="1"/>
  <c r="C34" i="4" s="1"/>
  <c r="C37" i="4" s="1"/>
  <c r="C39" i="4" s="1"/>
  <c r="F35" i="4" s="1"/>
</calcChain>
</file>

<file path=xl/sharedStrings.xml><?xml version="1.0" encoding="utf-8"?>
<sst xmlns="http://schemas.openxmlformats.org/spreadsheetml/2006/main" count="281" uniqueCount="167">
  <si>
    <t>Income Statement Data</t>
  </si>
  <si>
    <t>Revenues</t>
  </si>
  <si>
    <t>Gross profit</t>
  </si>
  <si>
    <t>Selling, general, and administrative (SG&amp;A) expenses</t>
  </si>
  <si>
    <t>Earnings from operations</t>
  </si>
  <si>
    <t>Net earnings</t>
  </si>
  <si>
    <t>Per share of common stock (diluted)</t>
  </si>
  <si>
    <t>Dividends paid per share</t>
  </si>
  <si>
    <t>Balance Sheet Data</t>
  </si>
  <si>
    <t>Cash and cash equivalents</t>
  </si>
  <si>
    <t>Inventories, net</t>
  </si>
  <si>
    <t>Working capital</t>
  </si>
  <si>
    <t>Total assets</t>
  </si>
  <si>
    <t>Debt</t>
  </si>
  <si>
    <t>Stockholders' equity</t>
  </si>
  <si>
    <t>Capital expenditures</t>
  </si>
  <si>
    <t>Financial Ratios and Other Data As a percentage of revenue:</t>
  </si>
  <si>
    <t>SG&amp;A expenses</t>
  </si>
  <si>
    <t>Return on average assets</t>
  </si>
  <si>
    <t>Return on average stockholders' equity</t>
  </si>
  <si>
    <t>Total debt-to-equity ratio</t>
  </si>
  <si>
    <t>Company-operated TIFFANY &amp; CO. stores</t>
  </si>
  <si>
    <t>Number of employees</t>
  </si>
  <si>
    <t>Tiffany &amp; Co. Financial Statements</t>
  </si>
  <si>
    <t>2020F</t>
  </si>
  <si>
    <t>2021F</t>
  </si>
  <si>
    <t>2022F</t>
  </si>
  <si>
    <t>2023F</t>
  </si>
  <si>
    <t>2024F</t>
  </si>
  <si>
    <t>2025F</t>
  </si>
  <si>
    <t>2026F</t>
  </si>
  <si>
    <t>2027F</t>
  </si>
  <si>
    <t>Revenue growth by region</t>
  </si>
  <si>
    <t>Americas</t>
  </si>
  <si>
    <t>Asia Pacific</t>
  </si>
  <si>
    <t>Europe</t>
  </si>
  <si>
    <t>Other</t>
  </si>
  <si>
    <t>Gross margin by region</t>
  </si>
  <si>
    <t>60.00/0</t>
  </si>
  <si>
    <t>SG&amp;A as a percentage of revenue</t>
  </si>
  <si>
    <t>Revenues by region</t>
  </si>
  <si>
    <t>Gross profit bv region</t>
  </si>
  <si>
    <t>SC,&amp;A</t>
  </si>
  <si>
    <t>Operating profit</t>
  </si>
  <si>
    <t>Net property, plant, &amp; equipment</t>
  </si>
  <si>
    <t>Depreciation &amp; amortization</t>
  </si>
  <si>
    <t>Working capital turnover</t>
  </si>
  <si>
    <t>PP &amp;E turnover</t>
  </si>
  <si>
    <t>Growth</t>
  </si>
  <si>
    <t>Revenue</t>
  </si>
  <si>
    <t>EBITDA</t>
  </si>
  <si>
    <t>Current</t>
  </si>
  <si>
    <t>Assets</t>
  </si>
  <si>
    <t>Liabilities</t>
  </si>
  <si>
    <t>Burberry Group plc</t>
  </si>
  <si>
    <t>Capri Holdings Limited</t>
  </si>
  <si>
    <t>Kering SA</t>
  </si>
  <si>
    <t>Pandora A/S</t>
  </si>
  <si>
    <t>Prada S.p.A.</t>
  </si>
  <si>
    <t>Ralph Lauren Corporation</t>
  </si>
  <si>
    <t>Tapestry, Inc.</t>
  </si>
  <si>
    <t>LVMH Moét Hennessy Louis Vuitton</t>
  </si>
  <si>
    <t>Tiffany &amp; co.</t>
  </si>
  <si>
    <t>Share Price</t>
  </si>
  <si>
    <t>Shares Out</t>
  </si>
  <si>
    <t>Bond Rating</t>
  </si>
  <si>
    <t>Beta</t>
  </si>
  <si>
    <t>Employees</t>
  </si>
  <si>
    <t>Dividend</t>
  </si>
  <si>
    <t>Yield</t>
  </si>
  <si>
    <t>A—*</t>
  </si>
  <si>
    <t>BBB-</t>
  </si>
  <si>
    <t>A—</t>
  </si>
  <si>
    <t>BBB *</t>
  </si>
  <si>
    <t>BB*</t>
  </si>
  <si>
    <t>LVMH Moet Hennessy Louis Vuitton</t>
  </si>
  <si>
    <t>BBB+</t>
  </si>
  <si>
    <t>EBIT</t>
  </si>
  <si>
    <t>Net Income</t>
  </si>
  <si>
    <t>Discounted Cash Flow Analysis - Tiffany &amp; Co.</t>
  </si>
  <si>
    <t>Change in NWC</t>
  </si>
  <si>
    <t>Operating Income</t>
  </si>
  <si>
    <t>Tax Rate</t>
  </si>
  <si>
    <t>NOPAT</t>
  </si>
  <si>
    <t>(+) D&amp;A</t>
  </si>
  <si>
    <t>CapEx</t>
  </si>
  <si>
    <t>(-) CapEx</t>
  </si>
  <si>
    <t>(-) Change in NWC</t>
  </si>
  <si>
    <t>Free Cash Flow</t>
  </si>
  <si>
    <t>Mid year convention</t>
  </si>
  <si>
    <t>Discounting Factor</t>
  </si>
  <si>
    <t>Terminal Period</t>
  </si>
  <si>
    <t>Weighted Average Cost of Capital Analysis</t>
  </si>
  <si>
    <t>Company</t>
  </si>
  <si>
    <t>Shares O/s</t>
  </si>
  <si>
    <t>Market Cap</t>
  </si>
  <si>
    <t>Total Capital</t>
  </si>
  <si>
    <t>Debt to</t>
  </si>
  <si>
    <t>Equity</t>
  </si>
  <si>
    <t>Capital</t>
  </si>
  <si>
    <t>Levered</t>
  </si>
  <si>
    <t>Unlevered</t>
  </si>
  <si>
    <t>Mean</t>
  </si>
  <si>
    <t>Median</t>
  </si>
  <si>
    <t>Cost of Debt</t>
  </si>
  <si>
    <t>A+</t>
  </si>
  <si>
    <t>Credit Rating (estimated)</t>
  </si>
  <si>
    <t>Bond Yield as per Credit Rating</t>
  </si>
  <si>
    <t>Marginal tax Rate</t>
  </si>
  <si>
    <t>After Tax Cost of Debt</t>
  </si>
  <si>
    <t>Capital Structure</t>
  </si>
  <si>
    <t>Target</t>
  </si>
  <si>
    <t>Market Capitalization</t>
  </si>
  <si>
    <t>Debt to Equity Ratio</t>
  </si>
  <si>
    <t>Cost of Equity</t>
  </si>
  <si>
    <t>Risk Free Rate</t>
  </si>
  <si>
    <t>Relevered Beta</t>
  </si>
  <si>
    <t>Market Risk Premium</t>
  </si>
  <si>
    <t>Target D/E Ratio</t>
  </si>
  <si>
    <t>Tax rate</t>
  </si>
  <si>
    <t>Unlevered Beta (Median)</t>
  </si>
  <si>
    <t>Weighted Average Cost of Capital (WACC)</t>
  </si>
  <si>
    <t>Weight of Equity</t>
  </si>
  <si>
    <t>Weight of Debt</t>
  </si>
  <si>
    <t>WACC</t>
  </si>
  <si>
    <t>Terminal Growth Rate</t>
  </si>
  <si>
    <t>PV of Free Cash Flows</t>
  </si>
  <si>
    <t>Assumptions &amp; Estimations</t>
  </si>
  <si>
    <t>Terminal Value</t>
  </si>
  <si>
    <t>FCF (n+1)</t>
  </si>
  <si>
    <t>PV of Terminal Value</t>
  </si>
  <si>
    <t>Enterprise Value</t>
  </si>
  <si>
    <t>Sum of PV of FCF</t>
  </si>
  <si>
    <t>Equity Value</t>
  </si>
  <si>
    <t>Cash</t>
  </si>
  <si>
    <t>Per Share Price</t>
  </si>
  <si>
    <t>CapEx (as a % of Revenue)</t>
  </si>
  <si>
    <t>CapEx (6% of Revenue) - Based on Historical Average</t>
  </si>
  <si>
    <t>Comparable Company Valuation - Tiffany &amp; Co.</t>
  </si>
  <si>
    <t>Price/share</t>
  </si>
  <si>
    <t>Market Data</t>
  </si>
  <si>
    <t>Financial Data</t>
  </si>
  <si>
    <t>Valuation Multiples</t>
  </si>
  <si>
    <t>EV/Revenue</t>
  </si>
  <si>
    <t>EV/EBITDA</t>
  </si>
  <si>
    <t>EV/EBIT</t>
  </si>
  <si>
    <t>P/E</t>
  </si>
  <si>
    <t>Tiffany &amp; Co.</t>
  </si>
  <si>
    <t>Implied Enterprise Value</t>
  </si>
  <si>
    <t>Implied Equity Value</t>
  </si>
  <si>
    <t>Implied Price per Share</t>
  </si>
  <si>
    <t>Total Forecasted Sales - Region Wise</t>
  </si>
  <si>
    <t>Terminal GR</t>
  </si>
  <si>
    <t>Valuation Analysis - Tiffany &amp; Co.</t>
  </si>
  <si>
    <t>Method</t>
  </si>
  <si>
    <t>DCF</t>
  </si>
  <si>
    <t>Low</t>
  </si>
  <si>
    <t>High</t>
  </si>
  <si>
    <t>Implied</t>
  </si>
  <si>
    <t>High - Valuation Analysis</t>
  </si>
  <si>
    <t>Low - Valuation Analysis</t>
  </si>
  <si>
    <t>Weights</t>
  </si>
  <si>
    <t>Opening</t>
  </si>
  <si>
    <t>Close</t>
  </si>
  <si>
    <t>30% Premium over Implied Value/Share</t>
  </si>
  <si>
    <t>Equity Value after Premium</t>
  </si>
  <si>
    <t>Premium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</si>
</sst>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"/>
    <numFmt numFmtId="169" formatCode="0.0%"/>
    <numFmt numFmtId="179" formatCode="0.00\x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432FF"/>
      <name val="Calibri"/>
      <family val="2"/>
    </font>
    <font>
      <b/>
      <i/>
      <sz val="11"/>
      <color theme="1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7E79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3" fontId="0" fillId="0" borderId="0" xfId="0" applyNumberFormat="1"/>
    <xf numFmtId="9" fontId="0" fillId="0" borderId="0" xfId="0" applyNumberFormat="1"/>
    <xf numFmtId="0" fontId="2" fillId="0" borderId="0" xfId="0" applyFont="1"/>
    <xf numFmtId="10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0" fontId="4" fillId="0" borderId="0" xfId="0" applyFont="1"/>
    <xf numFmtId="9" fontId="4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37" fontId="0" fillId="0" borderId="0" xfId="0" applyNumberFormat="1"/>
    <xf numFmtId="37" fontId="0" fillId="0" borderId="1" xfId="0" applyNumberFormat="1" applyBorder="1"/>
    <xf numFmtId="37" fontId="2" fillId="0" borderId="1" xfId="0" applyNumberFormat="1" applyFont="1" applyBorder="1"/>
    <xf numFmtId="0" fontId="5" fillId="0" borderId="0" xfId="0" applyFont="1"/>
    <xf numFmtId="9" fontId="6" fillId="0" borderId="0" xfId="0" applyNumberFormat="1" applyFont="1"/>
    <xf numFmtId="0" fontId="0" fillId="0" borderId="1" xfId="0" applyBorder="1"/>
    <xf numFmtId="0" fontId="0" fillId="0" borderId="0" xfId="0" applyFill="1" applyBorder="1"/>
    <xf numFmtId="168" fontId="0" fillId="0" borderId="0" xfId="0" applyNumberFormat="1"/>
    <xf numFmtId="0" fontId="0" fillId="0" borderId="0" xfId="0" applyBorder="1"/>
    <xf numFmtId="169" fontId="0" fillId="0" borderId="0" xfId="1" applyNumberFormat="1" applyFont="1"/>
    <xf numFmtId="2" fontId="0" fillId="0" borderId="0" xfId="0" applyNumberFormat="1"/>
    <xf numFmtId="169" fontId="0" fillId="0" borderId="0" xfId="0" applyNumberFormat="1"/>
    <xf numFmtId="169" fontId="2" fillId="0" borderId="0" xfId="0" applyNumberFormat="1" applyFont="1"/>
    <xf numFmtId="0" fontId="2" fillId="0" borderId="5" xfId="0" applyFont="1" applyBorder="1"/>
    <xf numFmtId="169" fontId="2" fillId="0" borderId="1" xfId="0" applyNumberFormat="1" applyFont="1" applyBorder="1"/>
    <xf numFmtId="2" fontId="2" fillId="0" borderId="1" xfId="0" applyNumberFormat="1" applyFont="1" applyBorder="1"/>
    <xf numFmtId="2" fontId="2" fillId="0" borderId="6" xfId="0" applyNumberFormat="1" applyFont="1" applyBorder="1"/>
    <xf numFmtId="0" fontId="2" fillId="0" borderId="7" xfId="0" applyFont="1" applyBorder="1"/>
    <xf numFmtId="169" fontId="2" fillId="0" borderId="2" xfId="0" applyNumberFormat="1" applyFont="1" applyBorder="1"/>
    <xf numFmtId="2" fontId="2" fillId="0" borderId="2" xfId="0" applyNumberFormat="1" applyFont="1" applyBorder="1"/>
    <xf numFmtId="2" fontId="2" fillId="0" borderId="4" xfId="0" applyNumberFormat="1" applyFont="1" applyBorder="1"/>
    <xf numFmtId="39" fontId="0" fillId="0" borderId="0" xfId="0" applyNumberFormat="1"/>
    <xf numFmtId="39" fontId="0" fillId="2" borderId="0" xfId="0" applyNumberFormat="1" applyFill="1"/>
    <xf numFmtId="37" fontId="0" fillId="2" borderId="0" xfId="0" applyNumberFormat="1" applyFill="1"/>
    <xf numFmtId="2" fontId="0" fillId="2" borderId="0" xfId="0" applyNumberFormat="1" applyFill="1"/>
    <xf numFmtId="0" fontId="0" fillId="2" borderId="8" xfId="0" applyFill="1" applyBorder="1"/>
    <xf numFmtId="39" fontId="0" fillId="2" borderId="9" xfId="0" applyNumberFormat="1" applyFill="1" applyBorder="1"/>
    <xf numFmtId="37" fontId="0" fillId="2" borderId="9" xfId="0" applyNumberFormat="1" applyFill="1" applyBorder="1"/>
    <xf numFmtId="169" fontId="0" fillId="2" borderId="9" xfId="1" applyNumberFormat="1" applyFont="1" applyFill="1" applyBorder="1"/>
    <xf numFmtId="2" fontId="0" fillId="2" borderId="9" xfId="0" applyNumberFormat="1" applyFill="1" applyBorder="1"/>
    <xf numFmtId="2" fontId="0" fillId="2" borderId="10" xfId="0" applyNumberFormat="1" applyFill="1" applyBorder="1"/>
    <xf numFmtId="10" fontId="2" fillId="0" borderId="1" xfId="0" applyNumberFormat="1" applyFont="1" applyBorder="1"/>
    <xf numFmtId="0" fontId="7" fillId="0" borderId="0" xfId="0" applyFont="1" applyAlignment="1">
      <alignment horizontal="right"/>
    </xf>
    <xf numFmtId="37" fontId="2" fillId="0" borderId="0" xfId="0" applyNumberFormat="1" applyFont="1"/>
    <xf numFmtId="9" fontId="2" fillId="0" borderId="1" xfId="0" applyNumberFormat="1" applyFont="1" applyBorder="1"/>
    <xf numFmtId="0" fontId="0" fillId="0" borderId="0" xfId="0" applyFont="1" applyFill="1" applyBorder="1"/>
    <xf numFmtId="10" fontId="6" fillId="0" borderId="0" xfId="0" applyNumberFormat="1" applyFont="1"/>
    <xf numFmtId="0" fontId="2" fillId="0" borderId="2" xfId="0" applyNumberFormat="1" applyFont="1" applyBorder="1" applyAlignment="1">
      <alignment horizontal="centerContinuous"/>
    </xf>
    <xf numFmtId="0" fontId="0" fillId="0" borderId="2" xfId="0" applyNumberForma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2" fillId="2" borderId="11" xfId="0" applyFont="1" applyFill="1" applyBorder="1"/>
    <xf numFmtId="0" fontId="2" fillId="2" borderId="12" xfId="0" applyFont="1" applyFill="1" applyBorder="1"/>
    <xf numFmtId="169" fontId="2" fillId="2" borderId="13" xfId="0" applyNumberFormat="1" applyFont="1" applyFill="1" applyBorder="1"/>
    <xf numFmtId="10" fontId="0" fillId="0" borderId="0" xfId="1" applyNumberFormat="1" applyFont="1"/>
    <xf numFmtId="0" fontId="2" fillId="0" borderId="14" xfId="0" applyFont="1" applyBorder="1"/>
    <xf numFmtId="0" fontId="0" fillId="0" borderId="14" xfId="0" applyBorder="1"/>
    <xf numFmtId="0" fontId="0" fillId="0" borderId="15" xfId="0" applyBorder="1"/>
    <xf numFmtId="37" fontId="2" fillId="0" borderId="15" xfId="0" applyNumberFormat="1" applyFont="1" applyBorder="1"/>
    <xf numFmtId="0" fontId="2" fillId="0" borderId="16" xfId="0" applyFont="1" applyBorder="1"/>
    <xf numFmtId="37" fontId="2" fillId="0" borderId="17" xfId="0" applyNumberFormat="1" applyFont="1" applyBorder="1"/>
    <xf numFmtId="39" fontId="2" fillId="0" borderId="10" xfId="0" applyNumberFormat="1" applyFont="1" applyBorder="1"/>
    <xf numFmtId="0" fontId="2" fillId="0" borderId="8" xfId="0" applyFont="1" applyBorder="1"/>
    <xf numFmtId="0" fontId="2" fillId="0" borderId="18" xfId="0" applyFont="1" applyBorder="1"/>
    <xf numFmtId="37" fontId="2" fillId="0" borderId="18" xfId="0" applyNumberFormat="1" applyFont="1" applyBorder="1"/>
    <xf numFmtId="10" fontId="4" fillId="0" borderId="0" xfId="1" applyNumberFormat="1" applyFont="1"/>
    <xf numFmtId="0" fontId="2" fillId="0" borderId="0" xfId="0" applyFont="1" applyAlignment="1">
      <alignment horizontal="centerContinuous"/>
    </xf>
    <xf numFmtId="0" fontId="2" fillId="0" borderId="0" xfId="0" applyFont="1" applyBorder="1" applyAlignment="1">
      <alignment horizontal="centerContinuous"/>
    </xf>
    <xf numFmtId="179" fontId="0" fillId="0" borderId="0" xfId="0" applyNumberFormat="1"/>
    <xf numFmtId="0" fontId="2" fillId="3" borderId="19" xfId="0" applyFont="1" applyFill="1" applyBorder="1"/>
    <xf numFmtId="0" fontId="2" fillId="3" borderId="18" xfId="0" applyFont="1" applyFill="1" applyBorder="1"/>
    <xf numFmtId="179" fontId="2" fillId="3" borderId="18" xfId="0" applyNumberFormat="1" applyFont="1" applyFill="1" applyBorder="1"/>
    <xf numFmtId="179" fontId="2" fillId="3" borderId="20" xfId="0" applyNumberFormat="1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179" fontId="2" fillId="3" borderId="22" xfId="0" applyNumberFormat="1" applyFont="1" applyFill="1" applyBorder="1"/>
    <xf numFmtId="179" fontId="2" fillId="3" borderId="23" xfId="0" applyNumberFormat="1" applyFont="1" applyFill="1" applyBorder="1"/>
    <xf numFmtId="0" fontId="2" fillId="0" borderId="0" xfId="0" applyFont="1" applyAlignment="1">
      <alignment wrapText="1"/>
    </xf>
    <xf numFmtId="0" fontId="0" fillId="2" borderId="0" xfId="0" applyFill="1"/>
    <xf numFmtId="179" fontId="0" fillId="2" borderId="0" xfId="0" applyNumberFormat="1" applyFill="1"/>
    <xf numFmtId="9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10" fontId="0" fillId="0" borderId="3" xfId="0" applyNumberFormat="1" applyBorder="1"/>
    <xf numFmtId="39" fontId="3" fillId="0" borderId="4" xfId="0" applyNumberFormat="1" applyFont="1" applyBorder="1"/>
    <xf numFmtId="10" fontId="0" fillId="0" borderId="2" xfId="0" applyNumberFormat="1" applyBorder="1"/>
    <xf numFmtId="2" fontId="0" fillId="4" borderId="0" xfId="0" applyNumberFormat="1" applyFill="1"/>
    <xf numFmtId="2" fontId="0" fillId="5" borderId="0" xfId="0" applyNumberFormat="1" applyFill="1"/>
    <xf numFmtId="0" fontId="2" fillId="3" borderId="0" xfId="0" applyFont="1" applyFill="1" applyBorder="1"/>
    <xf numFmtId="179" fontId="2" fillId="3" borderId="0" xfId="0" applyNumberFormat="1" applyFont="1" applyFill="1" applyBorder="1"/>
    <xf numFmtId="0" fontId="2" fillId="3" borderId="24" xfId="0" applyFont="1" applyFill="1" applyBorder="1"/>
    <xf numFmtId="179" fontId="2" fillId="3" borderId="25" xfId="0" applyNumberFormat="1" applyFont="1" applyFill="1" applyBorder="1"/>
    <xf numFmtId="0" fontId="2" fillId="2" borderId="0" xfId="0" applyFont="1" applyFill="1"/>
    <xf numFmtId="0" fontId="8" fillId="2" borderId="0" xfId="0" applyFont="1" applyFill="1" applyAlignment="1">
      <alignment horizontal="right"/>
    </xf>
    <xf numFmtId="0" fontId="2" fillId="2" borderId="1" xfId="0" applyFont="1" applyFill="1" applyBorder="1"/>
    <xf numFmtId="2" fontId="2" fillId="2" borderId="1" xfId="0" applyNumberFormat="1" applyFont="1" applyFill="1" applyBorder="1"/>
    <xf numFmtId="1" fontId="2" fillId="0" borderId="0" xfId="0" applyNumberFormat="1" applyFont="1"/>
    <xf numFmtId="37" fontId="0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E79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842432</xdr:colOff>
      <xdr:row>35</xdr:row>
      <xdr:rowOff>5645</xdr:rowOff>
    </xdr:from>
    <xdr:to>
      <xdr:col>4</xdr:col>
      <xdr:colOff>486403</xdr:colOff>
      <xdr:row>51</xdr:row>
      <xdr:rowOff>70556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036E38-114C-4317-972F-3E3069DD8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099" y="6038145"/>
          <a:ext cx="4300637" cy="2887133"/>
        </a:xfrm>
        <a:prstGeom prst="rect">
          <a:avLst/>
        </a:prstGeom>
      </xdr:spPr>
    </xdr:pic>
    <xdr:clientData/>
  </xdr:twoCellAnchor>
  <xdr:twoCellAnchor editAs="oneCell">
    <xdr:from>
      <xdr:col>12</xdr:col>
      <xdr:colOff>440267</xdr:colOff>
      <xdr:row>42</xdr:row>
      <xdr:rowOff>143933</xdr:rowOff>
    </xdr:from>
    <xdr:to>
      <xdr:col>19</xdr:col>
      <xdr:colOff>715434</xdr:colOff>
      <xdr:row>69</xdr:row>
      <xdr:rowOff>169333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D46B12-9C49-6DC8-E19A-BE8FC82C2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6667" y="8178800"/>
          <a:ext cx="6083300" cy="5283200"/>
        </a:xfrm>
        <a:prstGeom prst="rect">
          <a:avLst/>
        </a:prstGeom>
      </xdr:spPr>
    </xdr:pic>
    <xdr:clientData/>
  </xdr:twoCellAnchor>
  <xdr:twoCellAnchor editAs="oneCell">
    <xdr:from>
      <xdr:col>1</xdr:col>
      <xdr:colOff>2404534</xdr:colOff>
      <xdr:row>60</xdr:row>
      <xdr:rowOff>186266</xdr:rowOff>
    </xdr:from>
    <xdr:to>
      <xdr:col>10</xdr:col>
      <xdr:colOff>448734</xdr:colOff>
      <xdr:row>82</xdr:row>
      <xdr:rowOff>67733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6DD6CE-338C-F9D6-4849-D90D2114A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4667" y="11726333"/>
          <a:ext cx="6731000" cy="4165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491067</xdr:colOff>
      <xdr:row>1</xdr:row>
      <xdr:rowOff>16934</xdr:rowOff>
    </xdr:from>
    <xdr:to>
      <xdr:col>15</xdr:col>
      <xdr:colOff>85997</xdr:colOff>
      <xdr:row>24</xdr:row>
      <xdr:rowOff>135467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E3BA57-1324-A346-A31D-BE5DED8DE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8600" y="211667"/>
          <a:ext cx="4573330" cy="4597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575733</xdr:colOff>
      <xdr:row>1</xdr:row>
      <xdr:rowOff>50800</xdr:rowOff>
    </xdr:from>
    <xdr:to>
      <xdr:col>16</xdr:col>
      <xdr:colOff>50799</xdr:colOff>
      <xdr:row>30</xdr:row>
      <xdr:rowOff>97660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E5BFDB-943B-9C54-CEBD-9887188F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4533" y="245533"/>
          <a:ext cx="7772400" cy="569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D617-FA4D-CB41-B5D8-A307BADF90BD}">
  <dimension ref="B2:G31"/>
  <sheetViews>
    <sheetView showGridLines="0" zoomScale="150" zoomScaleNormal="150" workbookViewId="0">
      <selection activeCell="D26" sqref="D26"/>
    </sheetView>
  </sheetViews>
  <sheetFormatPr baseColWidth="10" defaultRowHeight="15" x14ac:dyDescent="0.2"/>
  <cols>
    <col min="1" max="1" width="2.83203125" customWidth="1"/>
    <col min="2" max="2" width="48" bestFit="1" customWidth="1"/>
    <col min="3" max="7" width="6.6640625" bestFit="1" customWidth="1"/>
  </cols>
  <sheetData>
    <row r="2" spans="2:7" x14ac:dyDescent="0.2">
      <c r="B2" s="3" t="s">
        <v>23</v>
      </c>
    </row>
    <row r="3" spans="2:7" ht="4" customHeight="1" x14ac:dyDescent="0.2"/>
    <row r="4" spans="2:7" x14ac:dyDescent="0.2">
      <c r="B4" s="11" t="s">
        <v>0</v>
      </c>
      <c r="C4" s="11">
        <v>2014</v>
      </c>
      <c r="D4" s="11">
        <v>2015</v>
      </c>
      <c r="E4" s="11">
        <v>2016</v>
      </c>
      <c r="F4" s="11">
        <v>2017</v>
      </c>
      <c r="G4" s="11">
        <v>2018</v>
      </c>
    </row>
    <row r="5" spans="2:7" x14ac:dyDescent="0.2">
      <c r="B5" t="s">
        <v>1</v>
      </c>
      <c r="C5" s="1">
        <v>4250</v>
      </c>
      <c r="D5" s="1">
        <v>4105</v>
      </c>
      <c r="E5" s="1">
        <v>4002</v>
      </c>
      <c r="F5" s="1">
        <v>4170</v>
      </c>
      <c r="G5" s="1">
        <v>4442</v>
      </c>
    </row>
    <row r="6" spans="2:7" x14ac:dyDescent="0.2">
      <c r="B6" t="s">
        <v>2</v>
      </c>
      <c r="C6" s="1">
        <v>2544</v>
      </c>
      <c r="D6" s="1">
        <v>2505</v>
      </c>
      <c r="E6" s="1">
        <v>2499</v>
      </c>
      <c r="F6" s="1">
        <v>2611</v>
      </c>
      <c r="G6" s="1">
        <v>2811</v>
      </c>
    </row>
    <row r="7" spans="2:7" x14ac:dyDescent="0.2">
      <c r="B7" t="s">
        <v>3</v>
      </c>
      <c r="C7" s="1">
        <v>1633</v>
      </c>
      <c r="D7" s="1">
        <v>1706</v>
      </c>
      <c r="E7" s="1">
        <v>1753</v>
      </c>
      <c r="F7" s="1">
        <v>1801</v>
      </c>
      <c r="G7" s="1">
        <v>2021</v>
      </c>
    </row>
    <row r="8" spans="2:7" x14ac:dyDescent="0.2">
      <c r="B8" t="s">
        <v>4</v>
      </c>
      <c r="C8">
        <v>912</v>
      </c>
      <c r="D8">
        <v>799</v>
      </c>
      <c r="E8">
        <v>746</v>
      </c>
      <c r="F8">
        <v>809</v>
      </c>
      <c r="G8">
        <v>790</v>
      </c>
    </row>
    <row r="9" spans="2:7" x14ac:dyDescent="0.2">
      <c r="B9" t="s">
        <v>5</v>
      </c>
      <c r="C9">
        <v>484</v>
      </c>
      <c r="D9">
        <v>464</v>
      </c>
      <c r="E9">
        <v>446</v>
      </c>
      <c r="F9">
        <v>370</v>
      </c>
      <c r="G9">
        <v>586</v>
      </c>
    </row>
    <row r="10" spans="2:7" x14ac:dyDescent="0.2">
      <c r="B10" t="s">
        <v>6</v>
      </c>
      <c r="C10">
        <v>3.73</v>
      </c>
      <c r="D10">
        <v>3.59</v>
      </c>
      <c r="E10">
        <v>3.55</v>
      </c>
      <c r="F10">
        <v>2.96</v>
      </c>
      <c r="G10">
        <v>4.75</v>
      </c>
    </row>
    <row r="11" spans="2:7" x14ac:dyDescent="0.2">
      <c r="B11" t="s">
        <v>7</v>
      </c>
      <c r="C11">
        <v>2.15</v>
      </c>
      <c r="D11">
        <v>1.95</v>
      </c>
      <c r="E11">
        <v>1.75</v>
      </c>
      <c r="F11">
        <v>1.58</v>
      </c>
      <c r="G11">
        <v>1.48</v>
      </c>
    </row>
    <row r="12" spans="2:7" x14ac:dyDescent="0.2">
      <c r="B12" t="s">
        <v>8</v>
      </c>
      <c r="C12">
        <v>2014</v>
      </c>
      <c r="D12">
        <v>2015</v>
      </c>
      <c r="E12">
        <v>2016</v>
      </c>
      <c r="F12">
        <v>2017</v>
      </c>
      <c r="G12">
        <v>2018</v>
      </c>
    </row>
    <row r="13" spans="2:7" x14ac:dyDescent="0.2">
      <c r="B13" t="s">
        <v>9</v>
      </c>
      <c r="C13">
        <v>730</v>
      </c>
      <c r="D13">
        <v>844</v>
      </c>
      <c r="E13">
        <v>928</v>
      </c>
      <c r="F13">
        <v>971</v>
      </c>
      <c r="G13">
        <v>793</v>
      </c>
    </row>
    <row r="14" spans="2:7" x14ac:dyDescent="0.2">
      <c r="B14" t="s">
        <v>10</v>
      </c>
      <c r="C14" s="1">
        <v>2362</v>
      </c>
      <c r="D14" s="1">
        <v>2225</v>
      </c>
      <c r="E14" s="1">
        <v>2158</v>
      </c>
      <c r="F14" s="1">
        <v>2254</v>
      </c>
      <c r="G14" s="1">
        <v>2428</v>
      </c>
    </row>
    <row r="15" spans="2:7" x14ac:dyDescent="0.2">
      <c r="B15" t="s">
        <v>11</v>
      </c>
      <c r="C15" s="1">
        <v>2851</v>
      </c>
      <c r="D15" s="1">
        <v>2779</v>
      </c>
      <c r="E15" s="1">
        <v>2941</v>
      </c>
      <c r="F15" s="1">
        <v>3259</v>
      </c>
      <c r="G15" s="1">
        <v>3041</v>
      </c>
    </row>
    <row r="16" spans="2:7" x14ac:dyDescent="0.2">
      <c r="B16" s="3" t="s">
        <v>12</v>
      </c>
      <c r="C16" s="7">
        <v>2520</v>
      </c>
      <c r="D16" s="7">
        <v>3167</v>
      </c>
      <c r="E16" s="7">
        <v>5098</v>
      </c>
      <c r="F16" s="7">
        <v>5468</v>
      </c>
      <c r="G16" s="7">
        <v>5333</v>
      </c>
    </row>
    <row r="17" spans="2:7" x14ac:dyDescent="0.2">
      <c r="B17" t="s">
        <v>13</v>
      </c>
      <c r="C17" s="1">
        <v>1108</v>
      </c>
      <c r="D17" s="1">
        <v>1096</v>
      </c>
      <c r="E17" s="1">
        <v>1107</v>
      </c>
      <c r="F17" s="1">
        <v>1004</v>
      </c>
      <c r="G17">
        <v>997</v>
      </c>
    </row>
    <row r="18" spans="2:7" x14ac:dyDescent="0.2">
      <c r="B18" t="s">
        <v>14</v>
      </c>
      <c r="C18" s="1">
        <v>2851</v>
      </c>
      <c r="D18" s="1">
        <v>2930</v>
      </c>
      <c r="E18" s="1">
        <v>3028</v>
      </c>
      <c r="F18" s="1">
        <v>3248</v>
      </c>
      <c r="G18" s="1">
        <v>3131</v>
      </c>
    </row>
    <row r="19" spans="2:7" x14ac:dyDescent="0.2">
      <c r="B19" t="s">
        <v>15</v>
      </c>
      <c r="C19">
        <v>247</v>
      </c>
      <c r="D19">
        <v>253</v>
      </c>
      <c r="E19">
        <v>223</v>
      </c>
      <c r="F19">
        <v>239</v>
      </c>
      <c r="G19">
        <v>282</v>
      </c>
    </row>
    <row r="21" spans="2:7" x14ac:dyDescent="0.2">
      <c r="B21" s="11" t="s">
        <v>16</v>
      </c>
      <c r="C21" s="11">
        <v>2014</v>
      </c>
      <c r="D21" s="11">
        <v>2015</v>
      </c>
      <c r="E21" s="11">
        <v>2016</v>
      </c>
      <c r="F21" s="11">
        <v>2017</v>
      </c>
      <c r="G21" s="11">
        <v>2018</v>
      </c>
    </row>
    <row r="22" spans="2:7" x14ac:dyDescent="0.2">
      <c r="B22" t="s">
        <v>2</v>
      </c>
      <c r="C22" s="2">
        <v>0.6</v>
      </c>
      <c r="D22" s="2">
        <v>0.61</v>
      </c>
      <c r="E22" s="2">
        <v>0.62</v>
      </c>
      <c r="F22" s="2">
        <v>0.63</v>
      </c>
      <c r="G22" s="2">
        <v>0.63</v>
      </c>
    </row>
    <row r="23" spans="2:7" x14ac:dyDescent="0.2">
      <c r="B23" t="s">
        <v>17</v>
      </c>
      <c r="C23" s="2">
        <v>0.38</v>
      </c>
      <c r="D23" s="2">
        <v>0.42</v>
      </c>
      <c r="E23" s="2">
        <v>0.44</v>
      </c>
      <c r="F23" s="2">
        <v>0.43</v>
      </c>
      <c r="G23" s="2">
        <v>0.46</v>
      </c>
    </row>
    <row r="24" spans="2:7" x14ac:dyDescent="0.2">
      <c r="B24" t="s">
        <v>4</v>
      </c>
      <c r="C24" s="2">
        <v>0.21</v>
      </c>
      <c r="D24" s="2">
        <v>0.2</v>
      </c>
      <c r="E24" s="2">
        <v>0.19</v>
      </c>
      <c r="F24" s="2">
        <v>0.19</v>
      </c>
      <c r="G24" s="2">
        <v>0.18</v>
      </c>
    </row>
    <row r="25" spans="2:7" x14ac:dyDescent="0.2">
      <c r="B25" t="s">
        <v>5</v>
      </c>
      <c r="C25" s="2">
        <v>0.11</v>
      </c>
      <c r="D25" s="2">
        <v>0.11</v>
      </c>
      <c r="E25" s="2">
        <v>0.11</v>
      </c>
      <c r="F25" s="2">
        <v>0.09</v>
      </c>
      <c r="G25" s="2">
        <v>0.13</v>
      </c>
    </row>
    <row r="26" spans="2:7" x14ac:dyDescent="0.2">
      <c r="B26" t="s">
        <v>15</v>
      </c>
      <c r="C26" s="2">
        <v>0.06</v>
      </c>
      <c r="D26" s="2">
        <v>0.06</v>
      </c>
      <c r="E26" s="2">
        <v>0.06</v>
      </c>
      <c r="F26" s="2">
        <v>0.06</v>
      </c>
      <c r="G26" s="2">
        <v>0.06</v>
      </c>
    </row>
    <row r="27" spans="2:7" x14ac:dyDescent="0.2">
      <c r="B27" t="s">
        <v>18</v>
      </c>
      <c r="C27" s="2">
        <v>0.1</v>
      </c>
      <c r="D27" s="2">
        <v>0.09</v>
      </c>
      <c r="E27" s="2">
        <v>0.09</v>
      </c>
      <c r="F27" s="2">
        <v>7.0000000000000007E-2</v>
      </c>
      <c r="G27" s="2">
        <v>0.11</v>
      </c>
    </row>
    <row r="28" spans="2:7" x14ac:dyDescent="0.2">
      <c r="B28" t="s">
        <v>19</v>
      </c>
      <c r="C28" s="2">
        <v>0.17</v>
      </c>
      <c r="D28" s="2">
        <v>0.16</v>
      </c>
      <c r="E28" s="2">
        <v>0.15</v>
      </c>
      <c r="F28" s="2">
        <v>0.12</v>
      </c>
      <c r="G28" s="2">
        <v>0.18</v>
      </c>
    </row>
    <row r="29" spans="2:7" x14ac:dyDescent="0.2">
      <c r="B29" t="s">
        <v>20</v>
      </c>
      <c r="C29" s="2">
        <v>0.39</v>
      </c>
      <c r="D29" s="2">
        <v>0.37</v>
      </c>
      <c r="E29" s="2">
        <v>0.37</v>
      </c>
      <c r="F29" s="2">
        <v>0.31</v>
      </c>
      <c r="G29" s="2">
        <v>0.32</v>
      </c>
    </row>
    <row r="30" spans="2:7" x14ac:dyDescent="0.2">
      <c r="B30" t="s">
        <v>21</v>
      </c>
      <c r="C30">
        <v>295</v>
      </c>
      <c r="D30">
        <v>307</v>
      </c>
      <c r="E30">
        <v>313</v>
      </c>
      <c r="F30">
        <v>315</v>
      </c>
      <c r="G30">
        <v>321</v>
      </c>
    </row>
    <row r="31" spans="2:7" x14ac:dyDescent="0.2">
      <c r="B31" t="s">
        <v>22</v>
      </c>
      <c r="C31" s="1">
        <v>12000</v>
      </c>
      <c r="D31" s="1">
        <v>12200</v>
      </c>
      <c r="E31" s="1">
        <v>11900</v>
      </c>
      <c r="F31" s="1">
        <v>13100</v>
      </c>
      <c r="G31" s="1">
        <v>14200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B3A6-D6F5-0348-8ACB-0B2AE8FEB102}">
  <dimension ref="B2:I25"/>
  <sheetViews>
    <sheetView showGridLines="0" zoomScale="150" zoomScaleNormal="150" workbookViewId="0">
      <selection activeCell="E24" sqref="E24"/>
    </sheetView>
  </sheetViews>
  <sheetFormatPr baseColWidth="10" defaultRowHeight="15" x14ac:dyDescent="0.2"/>
  <cols>
    <col min="1" max="1" width="2.83203125" customWidth="1"/>
    <col min="2" max="2" width="29.5" bestFit="1" customWidth="1"/>
    <col min="3" max="3" width="9.6640625" bestFit="1" customWidth="1"/>
    <col min="4" max="4" width="9.5" bestFit="1" customWidth="1"/>
    <col min="5" max="5" width="9.83203125" customWidth="1"/>
    <col min="6" max="6" width="10.6640625" bestFit="1" customWidth="1"/>
    <col min="7" max="7" width="7" bestFit="1" customWidth="1"/>
    <col min="8" max="8" width="9.33203125" bestFit="1" customWidth="1"/>
    <col min="9" max="9" width="8" bestFit="1" customWidth="1"/>
  </cols>
  <sheetData>
    <row r="2" spans="2:9" x14ac:dyDescent="0.2">
      <c r="B2" s="13"/>
      <c r="C2" s="6" t="s">
        <v>49</v>
      </c>
      <c r="D2" s="6" t="s">
        <v>50</v>
      </c>
      <c r="E2" s="6" t="s">
        <v>77</v>
      </c>
      <c r="F2" s="6" t="s">
        <v>78</v>
      </c>
      <c r="G2" s="3"/>
      <c r="H2" s="6" t="s">
        <v>51</v>
      </c>
      <c r="I2" s="6" t="s">
        <v>51</v>
      </c>
    </row>
    <row r="3" spans="2:9" x14ac:dyDescent="0.2">
      <c r="B3" s="14"/>
      <c r="C3" s="12"/>
      <c r="D3" s="12"/>
      <c r="E3" s="12"/>
      <c r="F3" s="12"/>
      <c r="G3" s="11"/>
      <c r="H3" s="12" t="s">
        <v>52</v>
      </c>
      <c r="I3" s="12" t="s">
        <v>53</v>
      </c>
    </row>
    <row r="4" spans="2:9" x14ac:dyDescent="0.2">
      <c r="B4" s="13" t="s">
        <v>54</v>
      </c>
      <c r="C4" s="1">
        <v>3548</v>
      </c>
      <c r="D4">
        <v>925</v>
      </c>
      <c r="E4">
        <v>605</v>
      </c>
      <c r="F4">
        <v>456</v>
      </c>
      <c r="H4" s="1">
        <v>1544</v>
      </c>
      <c r="I4">
        <v>912</v>
      </c>
    </row>
    <row r="5" spans="2:9" x14ac:dyDescent="0.2">
      <c r="B5" s="13" t="s">
        <v>55</v>
      </c>
      <c r="C5" s="1">
        <v>5571</v>
      </c>
      <c r="D5">
        <v>640</v>
      </c>
      <c r="E5">
        <v>441</v>
      </c>
      <c r="F5">
        <v>337</v>
      </c>
      <c r="H5" s="1">
        <v>1895</v>
      </c>
      <c r="I5" s="1">
        <v>1803</v>
      </c>
    </row>
    <row r="6" spans="2:9" x14ac:dyDescent="0.2">
      <c r="B6" s="13" t="s">
        <v>56</v>
      </c>
      <c r="C6" s="1">
        <v>16772</v>
      </c>
      <c r="D6" s="1">
        <v>5997</v>
      </c>
      <c r="E6" s="1">
        <v>4612</v>
      </c>
      <c r="F6" s="1">
        <v>2284</v>
      </c>
      <c r="H6" s="1">
        <v>7190</v>
      </c>
      <c r="I6" s="1">
        <v>8581</v>
      </c>
    </row>
    <row r="7" spans="2:9" x14ac:dyDescent="0.2">
      <c r="B7" s="13" t="s">
        <v>57</v>
      </c>
      <c r="C7" s="1">
        <v>3294</v>
      </c>
      <c r="D7" s="1">
        <v>1061</v>
      </c>
      <c r="E7">
        <v>628</v>
      </c>
      <c r="F7">
        <v>468</v>
      </c>
      <c r="H7" s="1">
        <v>6268</v>
      </c>
      <c r="I7" s="1">
        <v>10159</v>
      </c>
    </row>
    <row r="8" spans="2:9" x14ac:dyDescent="0.2">
      <c r="B8" s="13" t="s">
        <v>58</v>
      </c>
      <c r="C8" s="1">
        <v>3624</v>
      </c>
      <c r="D8">
        <v>998</v>
      </c>
      <c r="E8">
        <v>352</v>
      </c>
      <c r="F8">
        <v>290</v>
      </c>
      <c r="H8" s="1">
        <v>13860</v>
      </c>
      <c r="I8" s="1">
        <v>10642</v>
      </c>
    </row>
    <row r="9" spans="2:9" x14ac:dyDescent="0.2">
      <c r="B9" s="13" t="s">
        <v>59</v>
      </c>
      <c r="C9" s="1">
        <v>6367</v>
      </c>
      <c r="D9" s="1">
        <v>1080</v>
      </c>
      <c r="E9">
        <v>647</v>
      </c>
      <c r="F9">
        <v>451</v>
      </c>
      <c r="H9" s="1">
        <v>3387</v>
      </c>
      <c r="I9" s="1">
        <v>1736</v>
      </c>
    </row>
    <row r="10" spans="2:9" x14ac:dyDescent="0.2">
      <c r="B10" s="13" t="s">
        <v>60</v>
      </c>
      <c r="C10" s="1">
        <v>6004</v>
      </c>
      <c r="D10" s="1">
        <v>1052</v>
      </c>
      <c r="E10">
        <v>695</v>
      </c>
      <c r="F10">
        <v>541</v>
      </c>
      <c r="H10" s="1">
        <v>2204</v>
      </c>
      <c r="I10" s="1">
        <v>1212</v>
      </c>
    </row>
    <row r="11" spans="2:9" x14ac:dyDescent="0.2">
      <c r="B11" s="13" t="s">
        <v>61</v>
      </c>
      <c r="C11" s="1">
        <v>56568</v>
      </c>
      <c r="D11" s="1">
        <v>16304</v>
      </c>
      <c r="E11" s="1">
        <v>11563</v>
      </c>
      <c r="F11" s="1">
        <v>7464</v>
      </c>
      <c r="H11" s="1">
        <v>24106</v>
      </c>
      <c r="I11" s="1">
        <v>21048</v>
      </c>
    </row>
    <row r="12" spans="2:9" x14ac:dyDescent="0.2">
      <c r="B12" s="13" t="s">
        <v>62</v>
      </c>
      <c r="C12" s="1">
        <v>4385</v>
      </c>
      <c r="D12">
        <v>967</v>
      </c>
      <c r="E12">
        <v>738</v>
      </c>
      <c r="F12">
        <v>561</v>
      </c>
      <c r="H12" s="1">
        <v>3674</v>
      </c>
      <c r="I12">
        <v>871</v>
      </c>
    </row>
    <row r="13" spans="2:9" x14ac:dyDescent="0.2">
      <c r="C13" s="1"/>
      <c r="H13" s="1"/>
    </row>
    <row r="14" spans="2:9" x14ac:dyDescent="0.2">
      <c r="C14" s="1"/>
      <c r="H14" s="1"/>
    </row>
    <row r="15" spans="2:9" x14ac:dyDescent="0.2">
      <c r="B15" s="13"/>
      <c r="C15" s="6" t="s">
        <v>63</v>
      </c>
      <c r="D15" s="6" t="s">
        <v>64</v>
      </c>
      <c r="E15" s="6" t="s">
        <v>13</v>
      </c>
      <c r="F15" s="6" t="s">
        <v>65</v>
      </c>
      <c r="G15" s="6" t="s">
        <v>66</v>
      </c>
      <c r="H15" s="6" t="s">
        <v>67</v>
      </c>
      <c r="I15" s="6" t="s">
        <v>68</v>
      </c>
    </row>
    <row r="16" spans="2:9" x14ac:dyDescent="0.2">
      <c r="B16" s="14"/>
      <c r="C16" s="12"/>
      <c r="D16" s="12"/>
      <c r="E16" s="12"/>
      <c r="F16" s="12"/>
      <c r="G16" s="12"/>
      <c r="H16" s="12"/>
      <c r="I16" s="12" t="s">
        <v>69</v>
      </c>
    </row>
    <row r="17" spans="2:9" x14ac:dyDescent="0.2">
      <c r="B17" s="13" t="s">
        <v>54</v>
      </c>
      <c r="C17">
        <v>24.59</v>
      </c>
      <c r="D17">
        <v>413</v>
      </c>
      <c r="E17">
        <v>873</v>
      </c>
      <c r="F17" s="5" t="s">
        <v>70</v>
      </c>
      <c r="G17">
        <v>1.1499999999999999</v>
      </c>
      <c r="H17" s="1">
        <v>10629</v>
      </c>
      <c r="I17" s="4">
        <v>2.1999999999999999E-2</v>
      </c>
    </row>
    <row r="18" spans="2:9" x14ac:dyDescent="0.2">
      <c r="B18" s="13" t="s">
        <v>55</v>
      </c>
      <c r="C18">
        <v>30.97</v>
      </c>
      <c r="D18">
        <v>152</v>
      </c>
      <c r="E18" s="1">
        <v>3562</v>
      </c>
      <c r="F18" s="5" t="s">
        <v>71</v>
      </c>
      <c r="G18">
        <v>0.97</v>
      </c>
      <c r="H18" s="1">
        <v>17797</v>
      </c>
      <c r="I18" s="4">
        <v>0</v>
      </c>
    </row>
    <row r="19" spans="2:9" x14ac:dyDescent="0.2">
      <c r="B19" s="13" t="s">
        <v>56</v>
      </c>
      <c r="C19">
        <v>530.96</v>
      </c>
      <c r="D19">
        <v>126</v>
      </c>
      <c r="E19" s="1">
        <v>6170</v>
      </c>
      <c r="F19" s="5" t="s">
        <v>72</v>
      </c>
      <c r="G19">
        <v>1.0900000000000001</v>
      </c>
      <c r="H19" s="1">
        <v>34795</v>
      </c>
      <c r="I19" s="4">
        <v>2.5999999999999999E-2</v>
      </c>
    </row>
    <row r="20" spans="2:9" x14ac:dyDescent="0.2">
      <c r="B20" s="13" t="s">
        <v>57</v>
      </c>
      <c r="C20">
        <v>40.43</v>
      </c>
      <c r="D20">
        <v>92</v>
      </c>
      <c r="E20" s="1">
        <v>6963</v>
      </c>
      <c r="F20" s="5" t="s">
        <v>73</v>
      </c>
      <c r="G20">
        <v>1.52</v>
      </c>
      <c r="H20" s="1">
        <v>32000</v>
      </c>
      <c r="I20" s="4">
        <v>6.8000000000000005E-2</v>
      </c>
    </row>
    <row r="21" spans="2:9" x14ac:dyDescent="0.2">
      <c r="B21" s="13" t="s">
        <v>58</v>
      </c>
      <c r="C21">
        <v>3.1</v>
      </c>
      <c r="D21" s="1">
        <v>2559</v>
      </c>
      <c r="E21" s="1">
        <v>23149</v>
      </c>
      <c r="F21" s="5" t="s">
        <v>74</v>
      </c>
      <c r="G21">
        <v>1.68</v>
      </c>
      <c r="H21" s="1">
        <v>13556</v>
      </c>
      <c r="I21" s="4">
        <v>0.02</v>
      </c>
    </row>
    <row r="22" spans="2:9" x14ac:dyDescent="0.2">
      <c r="B22" s="13" t="s">
        <v>59</v>
      </c>
      <c r="C22">
        <v>95.08</v>
      </c>
      <c r="D22">
        <v>79</v>
      </c>
      <c r="E22" s="1">
        <v>2244</v>
      </c>
      <c r="F22" s="5" t="s">
        <v>72</v>
      </c>
      <c r="G22">
        <v>1.05</v>
      </c>
      <c r="H22" s="1">
        <v>24300</v>
      </c>
      <c r="I22" s="4">
        <v>1.9E-2</v>
      </c>
    </row>
    <row r="23" spans="2:9" x14ac:dyDescent="0.2">
      <c r="B23" s="13" t="s">
        <v>60</v>
      </c>
      <c r="C23">
        <v>25.44</v>
      </c>
      <c r="D23">
        <v>286</v>
      </c>
      <c r="E23" s="1">
        <v>3568</v>
      </c>
      <c r="F23" s="5" t="s">
        <v>71</v>
      </c>
      <c r="G23">
        <v>1.08</v>
      </c>
      <c r="H23" s="1">
        <v>21000</v>
      </c>
      <c r="I23" s="4">
        <v>4.2999999999999997E-2</v>
      </c>
    </row>
    <row r="24" spans="2:9" x14ac:dyDescent="0.2">
      <c r="B24" s="13" t="s">
        <v>75</v>
      </c>
      <c r="C24">
        <v>416.57</v>
      </c>
      <c r="D24">
        <v>505</v>
      </c>
      <c r="E24" s="1">
        <v>15727</v>
      </c>
      <c r="F24" s="5" t="s">
        <v>105</v>
      </c>
      <c r="G24">
        <v>1.1399999999999999</v>
      </c>
      <c r="H24" s="1">
        <v>127739</v>
      </c>
      <c r="I24" s="4">
        <v>2.3E-2</v>
      </c>
    </row>
    <row r="25" spans="2:9" x14ac:dyDescent="0.2">
      <c r="B25" s="13" t="s">
        <v>62</v>
      </c>
      <c r="C25">
        <v>91.58</v>
      </c>
      <c r="D25">
        <v>122</v>
      </c>
      <c r="E25" s="1">
        <v>1854</v>
      </c>
      <c r="F25" s="5" t="s">
        <v>76</v>
      </c>
      <c r="G25">
        <v>1.05</v>
      </c>
      <c r="H25" s="1">
        <v>14200</v>
      </c>
      <c r="I25" s="4">
        <v>2.4E-2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A937-58BA-5F4B-B897-B0F4FA5A6F23}">
  <dimension ref="B2:O48"/>
  <sheetViews>
    <sheetView showGridLines="0" zoomScale="150" zoomScaleNormal="150" workbookViewId="0">
      <pane xSplit="3" ySplit="2" topLeftCell="D5" activePane="bottomRight" state="frozen"/>
      <selection pane="topRight" activeCell="D1" sqref="D1"/>
      <selection pane="bottomLeft" activeCell="A3" sqref="A3"/>
      <selection pane="bottomRight" activeCell="N23" sqref="N23"/>
    </sheetView>
  </sheetViews>
  <sheetFormatPr baseColWidth="10" defaultRowHeight="15" x14ac:dyDescent="0.2"/>
  <cols>
    <col min="1" max="1" width="2.83203125" customWidth="1"/>
    <col min="2" max="2" width="27.33203125" bestFit="1" customWidth="1"/>
    <col min="3" max="3" width="6.1640625" bestFit="1" customWidth="1"/>
    <col min="4" max="4" width="7" bestFit="1" customWidth="1"/>
    <col min="5" max="7" width="7.33203125" bestFit="1" customWidth="1"/>
    <col min="8" max="12" width="7" bestFit="1" customWidth="1"/>
  </cols>
  <sheetData>
    <row r="2" spans="2:12" x14ac:dyDescent="0.2">
      <c r="C2" s="3">
        <v>2018</v>
      </c>
      <c r="D2" s="6">
        <v>2019</v>
      </c>
      <c r="E2" s="6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</row>
    <row r="3" spans="2:12" x14ac:dyDescent="0.2">
      <c r="B3" s="18" t="s">
        <v>32</v>
      </c>
    </row>
    <row r="4" spans="2:12" x14ac:dyDescent="0.2">
      <c r="B4" t="s">
        <v>33</v>
      </c>
      <c r="D4" s="4">
        <v>-1.0999999999999999E-2</v>
      </c>
      <c r="E4" s="4">
        <v>0.04</v>
      </c>
      <c r="F4" s="4">
        <v>0.04</v>
      </c>
      <c r="G4" s="4">
        <v>0.04</v>
      </c>
      <c r="H4" s="4">
        <v>0.04</v>
      </c>
      <c r="I4" s="4">
        <v>0.03</v>
      </c>
      <c r="J4" s="4">
        <v>0.03</v>
      </c>
      <c r="K4" s="4">
        <v>0.03</v>
      </c>
      <c r="L4" s="4">
        <v>0.03</v>
      </c>
    </row>
    <row r="5" spans="2:12" x14ac:dyDescent="0.2">
      <c r="B5" t="s">
        <v>34</v>
      </c>
      <c r="D5" s="4">
        <v>6.0000000000000001E-3</v>
      </c>
      <c r="E5" s="4">
        <v>7.0000000000000007E-2</v>
      </c>
      <c r="F5" s="4">
        <v>7.0000000000000007E-2</v>
      </c>
      <c r="G5" s="4">
        <v>7.0000000000000007E-2</v>
      </c>
      <c r="H5" s="4">
        <v>7.0000000000000007E-2</v>
      </c>
      <c r="I5" s="4">
        <v>0.03</v>
      </c>
      <c r="J5" s="4">
        <v>0.03</v>
      </c>
      <c r="K5" s="4">
        <v>0.03</v>
      </c>
      <c r="L5" s="4">
        <v>0.03</v>
      </c>
    </row>
    <row r="6" spans="2:12" x14ac:dyDescent="0.2">
      <c r="B6" t="s">
        <v>35</v>
      </c>
      <c r="D6" s="4">
        <v>-3.9E-2</v>
      </c>
      <c r="E6" s="4">
        <v>0.03</v>
      </c>
      <c r="F6" s="4">
        <v>0.03</v>
      </c>
      <c r="G6" s="4">
        <v>0.03</v>
      </c>
      <c r="H6" s="4">
        <v>0.03</v>
      </c>
      <c r="I6" s="4">
        <v>0.03</v>
      </c>
      <c r="J6" s="4">
        <v>0.03</v>
      </c>
      <c r="K6" s="4">
        <v>0.03</v>
      </c>
      <c r="L6" s="4">
        <v>0.03</v>
      </c>
    </row>
    <row r="7" spans="2:12" x14ac:dyDescent="0.2">
      <c r="B7" t="s">
        <v>36</v>
      </c>
      <c r="D7" s="4">
        <v>-7.2999999999999995E-2</v>
      </c>
      <c r="E7" s="4">
        <v>0.02</v>
      </c>
      <c r="F7" s="4">
        <v>0.02</v>
      </c>
      <c r="G7" s="4">
        <v>0.02</v>
      </c>
      <c r="H7" s="4">
        <v>0.02</v>
      </c>
      <c r="I7" s="4">
        <v>0.03</v>
      </c>
      <c r="J7" s="4">
        <v>0.03</v>
      </c>
      <c r="K7" s="4">
        <v>0.03</v>
      </c>
      <c r="L7" s="4">
        <v>0.03</v>
      </c>
    </row>
    <row r="8" spans="2:12" x14ac:dyDescent="0.2">
      <c r="D8" s="4"/>
      <c r="G8" s="4"/>
      <c r="H8" s="4"/>
      <c r="I8" s="4"/>
      <c r="J8" s="4"/>
      <c r="K8" s="4"/>
      <c r="L8" s="4"/>
    </row>
    <row r="9" spans="2:12" x14ac:dyDescent="0.2">
      <c r="B9" s="18" t="s">
        <v>37</v>
      </c>
    </row>
    <row r="10" spans="2:12" x14ac:dyDescent="0.2">
      <c r="B10" t="s">
        <v>33</v>
      </c>
      <c r="D10" s="4">
        <v>0.62</v>
      </c>
      <c r="E10" s="4">
        <v>0.62</v>
      </c>
      <c r="F10" s="4">
        <v>0.62</v>
      </c>
      <c r="G10" s="4">
        <v>0.62</v>
      </c>
      <c r="H10" s="4">
        <v>0.62</v>
      </c>
      <c r="I10" s="4">
        <v>0.6</v>
      </c>
      <c r="J10" s="4">
        <v>0.6</v>
      </c>
      <c r="K10" s="4">
        <v>0.6</v>
      </c>
      <c r="L10" s="4">
        <v>0.6</v>
      </c>
    </row>
    <row r="11" spans="2:12" x14ac:dyDescent="0.2">
      <c r="B11" t="s">
        <v>34</v>
      </c>
      <c r="D11" s="4">
        <v>0.65300000000000002</v>
      </c>
      <c r="E11" s="4">
        <v>0.66</v>
      </c>
      <c r="F11" s="4">
        <v>0.66</v>
      </c>
      <c r="G11" s="4">
        <v>0.66</v>
      </c>
      <c r="H11" s="4">
        <v>0.66</v>
      </c>
      <c r="I11" s="4">
        <v>0.63</v>
      </c>
      <c r="J11" s="4">
        <v>0.63</v>
      </c>
      <c r="K11" s="4">
        <v>0.63</v>
      </c>
      <c r="L11" s="4">
        <v>0.63</v>
      </c>
    </row>
    <row r="12" spans="2:12" x14ac:dyDescent="0.2">
      <c r="B12" t="s">
        <v>35</v>
      </c>
      <c r="D12" s="4">
        <v>0.59599999999999997</v>
      </c>
      <c r="E12" s="4">
        <v>0.6</v>
      </c>
      <c r="F12" t="s">
        <v>38</v>
      </c>
      <c r="G12" s="4">
        <v>0.6</v>
      </c>
      <c r="H12" s="4">
        <v>0.6</v>
      </c>
      <c r="I12" s="4">
        <v>0.61</v>
      </c>
      <c r="J12" s="4">
        <v>0.61</v>
      </c>
      <c r="K12" s="4">
        <v>0.61</v>
      </c>
      <c r="L12" s="4">
        <v>0.61</v>
      </c>
    </row>
    <row r="13" spans="2:12" x14ac:dyDescent="0.2">
      <c r="B13" t="s">
        <v>36</v>
      </c>
      <c r="D13" s="4">
        <v>0.57699999999999996</v>
      </c>
      <c r="E13" s="4">
        <v>0.57999999999999996</v>
      </c>
      <c r="F13" s="4">
        <v>0.57999999999999996</v>
      </c>
      <c r="G13" s="4">
        <v>0.57999999999999996</v>
      </c>
      <c r="H13" s="4">
        <v>0.57999999999999996</v>
      </c>
      <c r="I13" s="4">
        <v>0.6</v>
      </c>
      <c r="J13" s="4">
        <v>0.6</v>
      </c>
      <c r="K13" s="4">
        <v>0.6</v>
      </c>
      <c r="L13" s="4">
        <v>0.6</v>
      </c>
    </row>
    <row r="14" spans="2:12" x14ac:dyDescent="0.2">
      <c r="D14" s="4"/>
      <c r="E14" s="4"/>
      <c r="F14" s="4"/>
      <c r="G14" s="4"/>
      <c r="H14" s="4"/>
      <c r="I14" s="4"/>
      <c r="J14" s="4"/>
      <c r="K14" s="4"/>
      <c r="L14" s="4"/>
    </row>
    <row r="15" spans="2:12" x14ac:dyDescent="0.2">
      <c r="B15" t="s">
        <v>39</v>
      </c>
      <c r="D15" s="4">
        <v>0.45600000000000002</v>
      </c>
      <c r="E15" s="4">
        <v>0.45</v>
      </c>
      <c r="F15" s="4">
        <v>0.45</v>
      </c>
      <c r="G15" s="4">
        <v>0.45</v>
      </c>
      <c r="H15" s="4">
        <v>0.45</v>
      </c>
      <c r="I15" s="4">
        <v>0.45</v>
      </c>
      <c r="J15" s="4">
        <v>0.45</v>
      </c>
      <c r="K15" s="4">
        <v>0.45</v>
      </c>
      <c r="L15" s="4">
        <v>0.45</v>
      </c>
    </row>
    <row r="16" spans="2:12" x14ac:dyDescent="0.2">
      <c r="D16" s="4"/>
      <c r="H16" s="4"/>
      <c r="I16" s="4"/>
      <c r="J16" s="4"/>
      <c r="K16" s="4"/>
      <c r="L16" s="4"/>
    </row>
    <row r="17" spans="2:15" x14ac:dyDescent="0.2">
      <c r="B17" s="18" t="s">
        <v>40</v>
      </c>
      <c r="N17" s="3" t="s">
        <v>151</v>
      </c>
    </row>
    <row r="18" spans="2:15" x14ac:dyDescent="0.2">
      <c r="B18" t="s">
        <v>33</v>
      </c>
      <c r="C18" s="15">
        <v>1960</v>
      </c>
      <c r="D18" s="15">
        <v>1938</v>
      </c>
      <c r="E18" s="15">
        <v>2016</v>
      </c>
      <c r="F18" s="15">
        <v>2096</v>
      </c>
      <c r="G18" s="15">
        <v>2180</v>
      </c>
      <c r="H18" s="15">
        <v>2267</v>
      </c>
      <c r="I18" s="15">
        <v>2335</v>
      </c>
      <c r="J18" s="15">
        <v>2406</v>
      </c>
      <c r="K18" s="15">
        <v>2478</v>
      </c>
      <c r="L18" s="15">
        <v>2552</v>
      </c>
      <c r="N18" s="15">
        <f>SUM(E18:L18)</f>
        <v>18330</v>
      </c>
      <c r="O18" s="85">
        <f>N18/$N$23</f>
        <v>0.42385422929288258</v>
      </c>
    </row>
    <row r="19" spans="2:15" x14ac:dyDescent="0.2">
      <c r="B19" t="s">
        <v>34</v>
      </c>
      <c r="C19" s="15">
        <v>1882</v>
      </c>
      <c r="D19" s="15">
        <v>1894</v>
      </c>
      <c r="E19" s="15">
        <v>2027</v>
      </c>
      <c r="F19" s="15">
        <v>2168</v>
      </c>
      <c r="G19" s="15">
        <v>2320</v>
      </c>
      <c r="H19" s="15">
        <v>2483</v>
      </c>
      <c r="I19" s="15">
        <v>2557</v>
      </c>
      <c r="J19" s="15">
        <v>2634</v>
      </c>
      <c r="K19" s="15">
        <v>2713</v>
      </c>
      <c r="L19" s="15">
        <v>2794</v>
      </c>
      <c r="N19" s="15">
        <f t="shared" ref="N19:N23" si="0">SUM(E19:L19)</f>
        <v>19696</v>
      </c>
      <c r="O19" s="85">
        <f t="shared" ref="O19:O21" si="1">N19/$N$23</f>
        <v>0.45544096563844055</v>
      </c>
    </row>
    <row r="20" spans="2:15" x14ac:dyDescent="0.2">
      <c r="B20" t="s">
        <v>35</v>
      </c>
      <c r="C20" s="15">
        <v>504</v>
      </c>
      <c r="D20" s="15">
        <v>485</v>
      </c>
      <c r="E20" s="15">
        <v>499</v>
      </c>
      <c r="F20" s="15">
        <v>514</v>
      </c>
      <c r="G20" s="15">
        <v>529</v>
      </c>
      <c r="H20" s="15">
        <v>545</v>
      </c>
      <c r="I20" s="15">
        <v>562</v>
      </c>
      <c r="J20" s="15">
        <v>579</v>
      </c>
      <c r="K20" s="15">
        <v>596</v>
      </c>
      <c r="L20" s="15">
        <v>614</v>
      </c>
      <c r="N20" s="15">
        <f t="shared" si="0"/>
        <v>4438</v>
      </c>
      <c r="O20" s="85">
        <f t="shared" si="1"/>
        <v>0.10262220783425056</v>
      </c>
    </row>
    <row r="21" spans="2:15" x14ac:dyDescent="0.2">
      <c r="B21" t="s">
        <v>36</v>
      </c>
      <c r="C21" s="15">
        <v>95</v>
      </c>
      <c r="D21" s="15">
        <v>88</v>
      </c>
      <c r="E21" s="15">
        <v>90</v>
      </c>
      <c r="F21" s="15">
        <v>92</v>
      </c>
      <c r="G21" s="15">
        <v>93</v>
      </c>
      <c r="H21" s="15">
        <v>95</v>
      </c>
      <c r="I21" s="15">
        <v>98</v>
      </c>
      <c r="J21" s="15">
        <v>101</v>
      </c>
      <c r="K21" s="15">
        <v>104</v>
      </c>
      <c r="L21" s="15">
        <v>107</v>
      </c>
      <c r="N21" s="15">
        <f t="shared" si="0"/>
        <v>780</v>
      </c>
      <c r="O21" s="85">
        <f t="shared" si="1"/>
        <v>1.8036350182675853E-2</v>
      </c>
    </row>
    <row r="22" spans="2:15" ht="5" customHeight="1" x14ac:dyDescent="0.2"/>
    <row r="23" spans="2:15" x14ac:dyDescent="0.2">
      <c r="B23" s="10" t="s">
        <v>1</v>
      </c>
      <c r="C23" s="17">
        <v>4442</v>
      </c>
      <c r="D23" s="17">
        <v>4405</v>
      </c>
      <c r="E23" s="17">
        <v>4631</v>
      </c>
      <c r="F23" s="17">
        <v>4871</v>
      </c>
      <c r="G23" s="17">
        <v>5123</v>
      </c>
      <c r="H23" s="17">
        <v>5391</v>
      </c>
      <c r="I23" s="17">
        <v>5553</v>
      </c>
      <c r="J23" s="17">
        <v>5719</v>
      </c>
      <c r="K23" s="17">
        <v>5891</v>
      </c>
      <c r="L23" s="17">
        <v>6067</v>
      </c>
      <c r="N23" s="48">
        <f t="shared" si="0"/>
        <v>43246</v>
      </c>
    </row>
    <row r="24" spans="2:15" x14ac:dyDescent="0.2">
      <c r="B24" s="8" t="s">
        <v>48</v>
      </c>
      <c r="C24" s="8"/>
      <c r="D24" s="9">
        <v>-0.01</v>
      </c>
      <c r="E24" s="9">
        <v>0.05</v>
      </c>
      <c r="F24" s="9">
        <v>0.05</v>
      </c>
      <c r="G24" s="9">
        <v>0.05</v>
      </c>
      <c r="H24" s="9">
        <v>0.04</v>
      </c>
      <c r="I24" s="9">
        <v>0.04</v>
      </c>
      <c r="J24" s="9">
        <v>0.04</v>
      </c>
      <c r="K24" s="9">
        <v>0.04</v>
      </c>
      <c r="L24" s="9">
        <v>0.03</v>
      </c>
    </row>
    <row r="25" spans="2:15" x14ac:dyDescent="0.2">
      <c r="D25" s="2"/>
      <c r="E25" s="2"/>
      <c r="F25" s="2"/>
      <c r="G25" s="2"/>
      <c r="H25" s="2"/>
      <c r="I25" s="2"/>
      <c r="J25" s="2"/>
      <c r="K25" s="2"/>
      <c r="L25" s="2"/>
    </row>
    <row r="26" spans="2:15" x14ac:dyDescent="0.2">
      <c r="B26" t="s">
        <v>41</v>
      </c>
    </row>
    <row r="27" spans="2:15" x14ac:dyDescent="0.2">
      <c r="B27" t="s">
        <v>33</v>
      </c>
      <c r="D27" s="15">
        <v>1202</v>
      </c>
      <c r="E27" s="15">
        <v>1250</v>
      </c>
      <c r="F27" s="15">
        <v>1300</v>
      </c>
      <c r="G27" s="15">
        <v>1352</v>
      </c>
      <c r="H27" s="15">
        <v>1406</v>
      </c>
      <c r="I27" s="15">
        <v>1401</v>
      </c>
      <c r="J27" s="15">
        <v>1443</v>
      </c>
      <c r="K27" s="15">
        <v>1486</v>
      </c>
      <c r="L27" s="15">
        <v>1531</v>
      </c>
    </row>
    <row r="28" spans="2:15" x14ac:dyDescent="0.2">
      <c r="B28" t="s">
        <v>34</v>
      </c>
      <c r="D28" s="15">
        <v>1236</v>
      </c>
      <c r="E28" s="15">
        <v>1338</v>
      </c>
      <c r="F28" s="15">
        <v>1431</v>
      </c>
      <c r="G28" s="15">
        <v>1531</v>
      </c>
      <c r="H28" s="15">
        <v>1639</v>
      </c>
      <c r="I28" s="15">
        <v>1611</v>
      </c>
      <c r="J28" s="15">
        <v>1659</v>
      </c>
      <c r="K28" s="15">
        <v>1709</v>
      </c>
      <c r="L28" s="15">
        <v>1760</v>
      </c>
    </row>
    <row r="29" spans="2:15" x14ac:dyDescent="0.2">
      <c r="B29" t="s">
        <v>35</v>
      </c>
      <c r="D29" s="15">
        <v>289</v>
      </c>
      <c r="E29" s="15">
        <v>299</v>
      </c>
      <c r="F29" s="15">
        <v>308</v>
      </c>
      <c r="G29" s="15">
        <v>318</v>
      </c>
      <c r="H29" s="15">
        <v>327</v>
      </c>
      <c r="I29" s="15">
        <v>343</v>
      </c>
      <c r="J29" s="15">
        <v>353</v>
      </c>
      <c r="K29" s="15">
        <v>364</v>
      </c>
      <c r="L29" s="15">
        <v>374</v>
      </c>
    </row>
    <row r="30" spans="2:15" x14ac:dyDescent="0.2">
      <c r="B30" t="s">
        <v>36</v>
      </c>
      <c r="D30" s="15">
        <v>51</v>
      </c>
      <c r="E30" s="15">
        <v>52</v>
      </c>
      <c r="F30" s="15">
        <v>53</v>
      </c>
      <c r="G30" s="15">
        <v>54</v>
      </c>
      <c r="H30" s="15">
        <v>55</v>
      </c>
      <c r="I30" s="15">
        <v>59</v>
      </c>
      <c r="J30" s="15">
        <v>61</v>
      </c>
      <c r="K30" s="15">
        <v>63</v>
      </c>
      <c r="L30" s="15">
        <v>64</v>
      </c>
    </row>
    <row r="31" spans="2:15" ht="5" customHeight="1" x14ac:dyDescent="0.2"/>
    <row r="32" spans="2:15" x14ac:dyDescent="0.2">
      <c r="B32" s="10" t="s">
        <v>2</v>
      </c>
      <c r="C32" s="17">
        <v>2811</v>
      </c>
      <c r="D32" s="17">
        <v>2777</v>
      </c>
      <c r="E32" s="17">
        <v>2939</v>
      </c>
      <c r="F32" s="17">
        <v>3092</v>
      </c>
      <c r="G32" s="17">
        <v>3255</v>
      </c>
      <c r="H32" s="17">
        <v>3427</v>
      </c>
      <c r="I32" s="17">
        <v>3414</v>
      </c>
      <c r="J32" s="17">
        <v>3516</v>
      </c>
      <c r="K32" s="17">
        <v>3622</v>
      </c>
      <c r="L32" s="17">
        <v>3730</v>
      </c>
    </row>
    <row r="33" spans="2:12" ht="5" customHeight="1" x14ac:dyDescent="0.2"/>
    <row r="34" spans="2:12" x14ac:dyDescent="0.2">
      <c r="B34" t="s">
        <v>42</v>
      </c>
      <c r="C34" s="15">
        <v>2021</v>
      </c>
      <c r="D34" s="15">
        <v>2009</v>
      </c>
      <c r="E34" s="15">
        <v>2084</v>
      </c>
      <c r="F34" s="15">
        <v>2192</v>
      </c>
      <c r="G34" s="15">
        <v>2306</v>
      </c>
      <c r="H34" s="15">
        <v>2426</v>
      </c>
      <c r="I34" s="15">
        <v>2499</v>
      </c>
      <c r="J34" s="15">
        <v>2574</v>
      </c>
      <c r="K34" s="15">
        <v>2651</v>
      </c>
      <c r="L34" s="15">
        <v>2730</v>
      </c>
    </row>
    <row r="35" spans="2:12" x14ac:dyDescent="0.2">
      <c r="B35" s="10" t="s">
        <v>43</v>
      </c>
      <c r="C35" s="17">
        <v>790</v>
      </c>
      <c r="D35" s="17">
        <v>769</v>
      </c>
      <c r="E35" s="17">
        <v>855</v>
      </c>
      <c r="F35" s="17">
        <v>901</v>
      </c>
      <c r="G35" s="17">
        <v>949</v>
      </c>
      <c r="H35" s="17">
        <v>1001</v>
      </c>
      <c r="I35" s="17">
        <v>915</v>
      </c>
      <c r="J35" s="17">
        <v>943</v>
      </c>
      <c r="K35" s="17">
        <v>971</v>
      </c>
      <c r="L35" s="17">
        <v>1000</v>
      </c>
    </row>
    <row r="36" spans="2:12" x14ac:dyDescent="0.2">
      <c r="H36" s="1"/>
      <c r="L36" s="1"/>
    </row>
    <row r="37" spans="2:12" ht="5" customHeight="1" x14ac:dyDescent="0.2"/>
    <row r="38" spans="2:12" x14ac:dyDescent="0.2">
      <c r="B38" t="s">
        <v>11</v>
      </c>
      <c r="C38" s="15">
        <v>3041</v>
      </c>
      <c r="D38" s="15">
        <v>3016</v>
      </c>
      <c r="E38" s="15">
        <v>3171</v>
      </c>
      <c r="F38" s="15">
        <v>3335</v>
      </c>
      <c r="G38" s="15">
        <v>3508</v>
      </c>
      <c r="H38" s="15">
        <v>3691</v>
      </c>
      <c r="I38" s="15">
        <v>3802</v>
      </c>
      <c r="J38" s="15">
        <v>3916</v>
      </c>
      <c r="K38" s="15">
        <v>4033</v>
      </c>
      <c r="L38" s="15">
        <v>4154</v>
      </c>
    </row>
    <row r="39" spans="2:12" x14ac:dyDescent="0.2">
      <c r="B39" t="s">
        <v>44</v>
      </c>
      <c r="C39" s="15">
        <v>991</v>
      </c>
      <c r="D39" s="15">
        <v>982</v>
      </c>
      <c r="E39" s="15">
        <v>1033</v>
      </c>
      <c r="F39" s="15">
        <v>1086</v>
      </c>
      <c r="G39" s="15">
        <v>1142</v>
      </c>
      <c r="H39" s="15">
        <v>1202</v>
      </c>
      <c r="I39" s="15">
        <v>1238</v>
      </c>
      <c r="J39" s="15">
        <v>1275</v>
      </c>
      <c r="K39" s="15">
        <v>1314</v>
      </c>
      <c r="L39" s="15">
        <v>1353</v>
      </c>
    </row>
    <row r="40" spans="2:12" x14ac:dyDescent="0.2">
      <c r="B40" t="s">
        <v>45</v>
      </c>
      <c r="C40" s="15">
        <v>229</v>
      </c>
      <c r="D40" s="15">
        <v>227</v>
      </c>
      <c r="E40" s="15">
        <v>239</v>
      </c>
      <c r="F40" s="15">
        <v>251</v>
      </c>
      <c r="G40" s="15">
        <v>264</v>
      </c>
      <c r="H40" s="15">
        <v>278</v>
      </c>
      <c r="I40" s="15">
        <v>286</v>
      </c>
      <c r="J40" s="15">
        <v>295</v>
      </c>
      <c r="K40" s="15">
        <v>304</v>
      </c>
      <c r="L40" s="15">
        <v>313</v>
      </c>
    </row>
    <row r="41" spans="2:12" x14ac:dyDescent="0.2">
      <c r="B41" t="s">
        <v>46</v>
      </c>
      <c r="C41">
        <v>1.46</v>
      </c>
      <c r="D41">
        <v>1.46</v>
      </c>
      <c r="E41">
        <v>1.46</v>
      </c>
      <c r="F41">
        <v>1.46</v>
      </c>
      <c r="G41">
        <v>1.46</v>
      </c>
      <c r="H41">
        <v>1.46</v>
      </c>
      <c r="I41">
        <v>1.46</v>
      </c>
      <c r="J41">
        <v>1.46</v>
      </c>
      <c r="K41">
        <v>1.46</v>
      </c>
      <c r="L41">
        <v>1.46</v>
      </c>
    </row>
    <row r="42" spans="2:12" x14ac:dyDescent="0.2">
      <c r="B42" t="s">
        <v>47</v>
      </c>
      <c r="C42">
        <v>4.4800000000000004</v>
      </c>
      <c r="D42">
        <v>4.4800000000000004</v>
      </c>
      <c r="E42">
        <v>4.4800000000000004</v>
      </c>
      <c r="F42">
        <v>4.4800000000000004</v>
      </c>
      <c r="G42">
        <v>4.4800000000000004</v>
      </c>
      <c r="H42">
        <v>4.4800000000000004</v>
      </c>
      <c r="I42">
        <v>4.4800000000000004</v>
      </c>
      <c r="J42">
        <v>4.4800000000000004</v>
      </c>
      <c r="K42">
        <v>4.4800000000000004</v>
      </c>
      <c r="L42">
        <v>4.4800000000000004</v>
      </c>
    </row>
    <row r="44" spans="2:12" x14ac:dyDescent="0.2">
      <c r="B44" t="s">
        <v>80</v>
      </c>
      <c r="D44" s="15">
        <f>D38-C38</f>
        <v>-25</v>
      </c>
      <c r="E44" s="15">
        <f t="shared" ref="E44:L44" si="2">E38-D38</f>
        <v>155</v>
      </c>
      <c r="F44" s="15">
        <f t="shared" si="2"/>
        <v>164</v>
      </c>
      <c r="G44" s="15">
        <f t="shared" si="2"/>
        <v>173</v>
      </c>
      <c r="H44" s="15">
        <f t="shared" si="2"/>
        <v>183</v>
      </c>
      <c r="I44" s="15">
        <f t="shared" si="2"/>
        <v>111</v>
      </c>
      <c r="J44" s="15">
        <f t="shared" si="2"/>
        <v>114</v>
      </c>
      <c r="K44" s="15">
        <f t="shared" si="2"/>
        <v>117</v>
      </c>
      <c r="L44" s="15">
        <f t="shared" si="2"/>
        <v>121</v>
      </c>
    </row>
    <row r="45" spans="2:12" x14ac:dyDescent="0.2">
      <c r="B45" t="s">
        <v>85</v>
      </c>
      <c r="D45" s="15">
        <f>C39-D39+D40</f>
        <v>236</v>
      </c>
      <c r="E45" s="15">
        <f t="shared" ref="E45:L45" si="3">D39-E39+E40</f>
        <v>188</v>
      </c>
      <c r="F45" s="15">
        <f t="shared" si="3"/>
        <v>198</v>
      </c>
      <c r="G45" s="15">
        <f t="shared" si="3"/>
        <v>208</v>
      </c>
      <c r="H45" s="15">
        <f t="shared" si="3"/>
        <v>218</v>
      </c>
      <c r="I45" s="15">
        <f t="shared" si="3"/>
        <v>250</v>
      </c>
      <c r="J45" s="15">
        <f t="shared" si="3"/>
        <v>258</v>
      </c>
      <c r="K45" s="15">
        <f t="shared" si="3"/>
        <v>265</v>
      </c>
      <c r="L45" s="15">
        <f t="shared" si="3"/>
        <v>274</v>
      </c>
    </row>
    <row r="46" spans="2:12" x14ac:dyDescent="0.2">
      <c r="B46" s="8" t="s">
        <v>136</v>
      </c>
      <c r="C46" s="8"/>
      <c r="D46" s="70">
        <f>D45/D23</f>
        <v>5.3575482406356414E-2</v>
      </c>
      <c r="E46" s="70">
        <f t="shared" ref="E46:L46" si="4">E45/E23</f>
        <v>4.0595983588857701E-2</v>
      </c>
      <c r="F46" s="70">
        <f t="shared" si="4"/>
        <v>4.0648737425579964E-2</v>
      </c>
      <c r="G46" s="70">
        <f t="shared" si="4"/>
        <v>4.0601210228381805E-2</v>
      </c>
      <c r="H46" s="70">
        <f t="shared" si="4"/>
        <v>4.0437766648117233E-2</v>
      </c>
      <c r="I46" s="70">
        <f t="shared" si="4"/>
        <v>4.5020709526382138E-2</v>
      </c>
      <c r="J46" s="70">
        <f t="shared" si="4"/>
        <v>4.5112781954887216E-2</v>
      </c>
      <c r="K46" s="70">
        <f t="shared" si="4"/>
        <v>4.498387370565269E-2</v>
      </c>
      <c r="L46" s="70">
        <f t="shared" si="4"/>
        <v>4.5162353716828744E-2</v>
      </c>
    </row>
    <row r="48" spans="2:12" x14ac:dyDescent="0.2">
      <c r="B48" t="s">
        <v>137</v>
      </c>
      <c r="D48" s="15">
        <f>D23*6%</f>
        <v>264.3</v>
      </c>
      <c r="E48" s="15">
        <f>E23*6%</f>
        <v>277.86</v>
      </c>
      <c r="F48" s="15">
        <f>F23*6%</f>
        <v>292.26</v>
      </c>
      <c r="G48" s="15">
        <f>G23*6%</f>
        <v>307.38</v>
      </c>
      <c r="H48" s="15">
        <f>H23*6%</f>
        <v>323.45999999999998</v>
      </c>
      <c r="I48" s="15">
        <f>I23*6%</f>
        <v>333.18</v>
      </c>
      <c r="J48" s="15">
        <f>J23*6%</f>
        <v>343.14</v>
      </c>
      <c r="K48" s="15">
        <f>K23*6%</f>
        <v>353.46</v>
      </c>
      <c r="L48" s="15">
        <f>L23*6%</f>
        <v>364.02</v>
      </c>
    </row>
  </sheetData>
  <pageMargins left="0.7" right="0.7" top="0.75" bottom="0.75" header="0.3" footer="0.3"/>
  <ignoredErrors>
    <ignoredError sqref="N18:N2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A2A1-5E7C-1C4C-AFEC-ED60947027E8}">
  <dimension ref="B2:K44"/>
  <sheetViews>
    <sheetView showGridLines="0" tabSelected="1" topLeftCell="A12" zoomScale="150" zoomScaleNormal="150" workbookViewId="0">
      <selection activeCell="K29" sqref="K29"/>
    </sheetView>
  </sheetViews>
  <sheetFormatPr baseColWidth="10" defaultRowHeight="15" x14ac:dyDescent="0.2"/>
  <cols>
    <col min="1" max="1" width="2.83203125" customWidth="1"/>
    <col min="2" max="2" width="34.5" bestFit="1" customWidth="1"/>
  </cols>
  <sheetData>
    <row r="2" spans="2:11" x14ac:dyDescent="0.2">
      <c r="B2" s="3" t="s">
        <v>92</v>
      </c>
    </row>
    <row r="3" spans="2:11" x14ac:dyDescent="0.2">
      <c r="B3" s="3"/>
    </row>
    <row r="4" spans="2:11" ht="4" customHeight="1" x14ac:dyDescent="0.2"/>
    <row r="5" spans="2:11" x14ac:dyDescent="0.2">
      <c r="C5" s="5"/>
      <c r="D5" s="5"/>
      <c r="E5" s="5"/>
      <c r="F5" s="5"/>
      <c r="G5" s="5"/>
      <c r="H5" s="6" t="s">
        <v>97</v>
      </c>
      <c r="I5" s="6" t="s">
        <v>97</v>
      </c>
      <c r="J5" s="6" t="s">
        <v>100</v>
      </c>
      <c r="K5" s="6" t="s">
        <v>101</v>
      </c>
    </row>
    <row r="6" spans="2:11" x14ac:dyDescent="0.2">
      <c r="B6" s="3" t="s">
        <v>93</v>
      </c>
      <c r="C6" s="6" t="s">
        <v>63</v>
      </c>
      <c r="D6" s="6" t="s">
        <v>94</v>
      </c>
      <c r="E6" s="6" t="s">
        <v>95</v>
      </c>
      <c r="F6" s="6" t="s">
        <v>13</v>
      </c>
      <c r="G6" s="6" t="s">
        <v>96</v>
      </c>
      <c r="H6" s="6" t="s">
        <v>98</v>
      </c>
      <c r="I6" s="6" t="s">
        <v>99</v>
      </c>
      <c r="J6" s="6" t="s">
        <v>66</v>
      </c>
      <c r="K6" s="6" t="s">
        <v>66</v>
      </c>
    </row>
    <row r="7" spans="2:11" x14ac:dyDescent="0.2">
      <c r="B7" s="23" t="s">
        <v>54</v>
      </c>
      <c r="C7" s="36">
        <f>'Comparable Comps'!C17</f>
        <v>24.59</v>
      </c>
      <c r="D7" s="15">
        <f>'Comparable Comps'!D17</f>
        <v>413</v>
      </c>
      <c r="E7" s="15">
        <f>C7*D7</f>
        <v>10155.67</v>
      </c>
      <c r="F7" s="15">
        <f>'Comparable Comps'!E17</f>
        <v>873</v>
      </c>
      <c r="G7" s="15">
        <f>E7+F7</f>
        <v>11028.67</v>
      </c>
      <c r="H7" s="24">
        <f>F7/E7</f>
        <v>8.596183215878421E-2</v>
      </c>
      <c r="I7" s="24">
        <f>F7/G7</f>
        <v>7.9157323593869428E-2</v>
      </c>
      <c r="J7" s="25">
        <f>'Comparable Comps'!G17</f>
        <v>1.1499999999999999</v>
      </c>
      <c r="K7" s="25">
        <f>J7/(1+(1-21%)*H7)</f>
        <v>1.0768699275449178</v>
      </c>
    </row>
    <row r="8" spans="2:11" x14ac:dyDescent="0.2">
      <c r="B8" s="23" t="s">
        <v>55</v>
      </c>
      <c r="C8" s="36">
        <f>'Comparable Comps'!C18</f>
        <v>30.97</v>
      </c>
      <c r="D8" s="15">
        <f>'Comparable Comps'!D18</f>
        <v>152</v>
      </c>
      <c r="E8" s="15">
        <f t="shared" ref="E8:E15" si="0">C8*D8</f>
        <v>4707.4399999999996</v>
      </c>
      <c r="F8" s="15">
        <f>'Comparable Comps'!E18</f>
        <v>3562</v>
      </c>
      <c r="G8" s="15">
        <f t="shared" ref="G8:G15" si="1">E8+F8</f>
        <v>8269.4399999999987</v>
      </c>
      <c r="H8" s="24">
        <f t="shared" ref="H8:H15" si="2">F8/E8</f>
        <v>0.75667454072701945</v>
      </c>
      <c r="I8" s="24">
        <f t="shared" ref="I8:I15" si="3">F8/G8</f>
        <v>0.43074258958284967</v>
      </c>
      <c r="J8" s="25">
        <f>'Comparable Comps'!G18</f>
        <v>0.97</v>
      </c>
      <c r="K8" s="25">
        <f t="shared" ref="K8:K15" si="4">J8/(1+(1-21%)*H8)</f>
        <v>0.60709504322322105</v>
      </c>
    </row>
    <row r="9" spans="2:11" x14ac:dyDescent="0.2">
      <c r="B9" s="23" t="s">
        <v>56</v>
      </c>
      <c r="C9" s="36">
        <f>'Comparable Comps'!C19</f>
        <v>530.96</v>
      </c>
      <c r="D9" s="15">
        <f>'Comparable Comps'!D19</f>
        <v>126</v>
      </c>
      <c r="E9" s="15">
        <f t="shared" si="0"/>
        <v>66900.960000000006</v>
      </c>
      <c r="F9" s="15">
        <f>'Comparable Comps'!E19</f>
        <v>6170</v>
      </c>
      <c r="G9" s="15">
        <f t="shared" si="1"/>
        <v>73070.960000000006</v>
      </c>
      <c r="H9" s="24">
        <f t="shared" si="2"/>
        <v>9.222588136253948E-2</v>
      </c>
      <c r="I9" s="24">
        <f t="shared" si="3"/>
        <v>8.4438469126449131E-2</v>
      </c>
      <c r="J9" s="25">
        <f>'Comparable Comps'!G19</f>
        <v>1.0900000000000001</v>
      </c>
      <c r="K9" s="25">
        <f t="shared" si="4"/>
        <v>1.0159774607573697</v>
      </c>
    </row>
    <row r="10" spans="2:11" x14ac:dyDescent="0.2">
      <c r="B10" s="23" t="s">
        <v>57</v>
      </c>
      <c r="C10" s="36">
        <f>'Comparable Comps'!C20</f>
        <v>40.43</v>
      </c>
      <c r="D10" s="15">
        <f>'Comparable Comps'!D20</f>
        <v>92</v>
      </c>
      <c r="E10" s="15">
        <f t="shared" si="0"/>
        <v>3719.56</v>
      </c>
      <c r="F10" s="15">
        <f>'Comparable Comps'!E20</f>
        <v>6963</v>
      </c>
      <c r="G10" s="15">
        <f t="shared" si="1"/>
        <v>10682.56</v>
      </c>
      <c r="H10" s="24">
        <f t="shared" si="2"/>
        <v>1.8719956123842605</v>
      </c>
      <c r="I10" s="24">
        <f t="shared" si="3"/>
        <v>0.6518100530209987</v>
      </c>
      <c r="J10" s="25">
        <f>'Comparable Comps'!G20</f>
        <v>1.52</v>
      </c>
      <c r="K10" s="25">
        <f t="shared" si="4"/>
        <v>0.61318100328296277</v>
      </c>
    </row>
    <row r="11" spans="2:11" x14ac:dyDescent="0.2">
      <c r="B11" s="23" t="s">
        <v>58</v>
      </c>
      <c r="C11" s="36">
        <f>'Comparable Comps'!C21</f>
        <v>3.1</v>
      </c>
      <c r="D11" s="15">
        <f>'Comparable Comps'!D21</f>
        <v>2559</v>
      </c>
      <c r="E11" s="15">
        <f t="shared" si="0"/>
        <v>7932.9000000000005</v>
      </c>
      <c r="F11" s="15">
        <f>'Comparable Comps'!E21</f>
        <v>23149</v>
      </c>
      <c r="G11" s="15">
        <f t="shared" si="1"/>
        <v>31081.9</v>
      </c>
      <c r="H11" s="24">
        <f t="shared" si="2"/>
        <v>2.9181005685184482</v>
      </c>
      <c r="I11" s="24">
        <f t="shared" si="3"/>
        <v>0.74477428986001493</v>
      </c>
      <c r="J11" s="25">
        <f>'Comparable Comps'!G21</f>
        <v>1.68</v>
      </c>
      <c r="K11" s="25">
        <f t="shared" si="4"/>
        <v>0.50827467400644</v>
      </c>
    </row>
    <row r="12" spans="2:11" x14ac:dyDescent="0.2">
      <c r="B12" s="23" t="s">
        <v>59</v>
      </c>
      <c r="C12" s="36">
        <f>'Comparable Comps'!C22</f>
        <v>95.08</v>
      </c>
      <c r="D12" s="15">
        <f>'Comparable Comps'!D22</f>
        <v>79</v>
      </c>
      <c r="E12" s="15">
        <f t="shared" si="0"/>
        <v>7511.32</v>
      </c>
      <c r="F12" s="15">
        <f>'Comparable Comps'!E22</f>
        <v>2244</v>
      </c>
      <c r="G12" s="15">
        <f t="shared" si="1"/>
        <v>9755.32</v>
      </c>
      <c r="H12" s="24">
        <f t="shared" si="2"/>
        <v>0.29874908804311362</v>
      </c>
      <c r="I12" s="24">
        <f t="shared" si="3"/>
        <v>0.23002833325816069</v>
      </c>
      <c r="J12" s="25">
        <f>'Comparable Comps'!G22</f>
        <v>1.05</v>
      </c>
      <c r="K12" s="25">
        <f t="shared" si="4"/>
        <v>0.84950646698434318</v>
      </c>
    </row>
    <row r="13" spans="2:11" x14ac:dyDescent="0.2">
      <c r="B13" s="23" t="s">
        <v>60</v>
      </c>
      <c r="C13" s="36">
        <f>'Comparable Comps'!C23</f>
        <v>25.44</v>
      </c>
      <c r="D13" s="15">
        <f>'Comparable Comps'!D23</f>
        <v>286</v>
      </c>
      <c r="E13" s="15">
        <f t="shared" si="0"/>
        <v>7275.84</v>
      </c>
      <c r="F13" s="15">
        <f>'Comparable Comps'!E23</f>
        <v>3568</v>
      </c>
      <c r="G13" s="15">
        <f t="shared" si="1"/>
        <v>10843.84</v>
      </c>
      <c r="H13" s="24">
        <f t="shared" si="2"/>
        <v>0.49039011303162244</v>
      </c>
      <c r="I13" s="24">
        <f t="shared" si="3"/>
        <v>0.32903473308348336</v>
      </c>
      <c r="J13" s="25">
        <f>'Comparable Comps'!G23</f>
        <v>1.08</v>
      </c>
      <c r="K13" s="25">
        <f t="shared" si="4"/>
        <v>0.77842988698863558</v>
      </c>
    </row>
    <row r="14" spans="2:11" x14ac:dyDescent="0.2">
      <c r="B14" s="23" t="s">
        <v>75</v>
      </c>
      <c r="C14" s="36">
        <f>'Comparable Comps'!C24</f>
        <v>416.57</v>
      </c>
      <c r="D14" s="15">
        <f>'Comparable Comps'!D24</f>
        <v>505</v>
      </c>
      <c r="E14" s="15">
        <f t="shared" si="0"/>
        <v>210367.85</v>
      </c>
      <c r="F14" s="15">
        <f>'Comparable Comps'!E24</f>
        <v>15727</v>
      </c>
      <c r="G14" s="15">
        <f t="shared" si="1"/>
        <v>226094.85</v>
      </c>
      <c r="H14" s="24">
        <f t="shared" si="2"/>
        <v>7.4759522427024855E-2</v>
      </c>
      <c r="I14" s="24">
        <f t="shared" si="3"/>
        <v>6.9559302213208302E-2</v>
      </c>
      <c r="J14" s="25">
        <f>'Comparable Comps'!G24</f>
        <v>1.1399999999999999</v>
      </c>
      <c r="K14" s="25">
        <f t="shared" si="4"/>
        <v>1.0764262417109971</v>
      </c>
    </row>
    <row r="15" spans="2:11" x14ac:dyDescent="0.2">
      <c r="B15" s="40" t="s">
        <v>62</v>
      </c>
      <c r="C15" s="41">
        <f>'Comparable Comps'!C25</f>
        <v>91.58</v>
      </c>
      <c r="D15" s="42">
        <f>'Comparable Comps'!D25</f>
        <v>122</v>
      </c>
      <c r="E15" s="42">
        <f t="shared" si="0"/>
        <v>11172.76</v>
      </c>
      <c r="F15" s="42">
        <f>'Comparable Comps'!E25</f>
        <v>1854</v>
      </c>
      <c r="G15" s="42">
        <f t="shared" si="1"/>
        <v>13026.76</v>
      </c>
      <c r="H15" s="43">
        <f t="shared" si="2"/>
        <v>0.1659393023747042</v>
      </c>
      <c r="I15" s="43">
        <f t="shared" si="3"/>
        <v>0.14232241938901155</v>
      </c>
      <c r="J15" s="44">
        <f>'Comparable Comps'!G25</f>
        <v>1.05</v>
      </c>
      <c r="K15" s="45">
        <f t="shared" si="4"/>
        <v>0.9283064106439447</v>
      </c>
    </row>
    <row r="17" spans="2:11" x14ac:dyDescent="0.2">
      <c r="G17" s="28" t="s">
        <v>102</v>
      </c>
      <c r="H17" s="29">
        <f>AVERAGE(H7:H15)</f>
        <v>0.75053294011416849</v>
      </c>
      <c r="I17" s="29">
        <f t="shared" ref="I17:K17" si="5">AVERAGE(I7:I15)</f>
        <v>0.30687416812533841</v>
      </c>
      <c r="J17" s="30">
        <f t="shared" si="5"/>
        <v>1.1922222222222223</v>
      </c>
      <c r="K17" s="31">
        <f t="shared" si="5"/>
        <v>0.82822967946031467</v>
      </c>
    </row>
    <row r="18" spans="2:11" x14ac:dyDescent="0.2">
      <c r="G18" s="32" t="s">
        <v>103</v>
      </c>
      <c r="H18" s="33">
        <f>MEDIAN(H7:H15)</f>
        <v>0.29874908804311362</v>
      </c>
      <c r="I18" s="33">
        <f t="shared" ref="I18:K18" si="6">MEDIAN(I7:I15)</f>
        <v>0.23002833325816069</v>
      </c>
      <c r="J18" s="34">
        <f t="shared" si="6"/>
        <v>1.0900000000000001</v>
      </c>
      <c r="K18" s="35">
        <f t="shared" si="6"/>
        <v>0.84950646698434318</v>
      </c>
    </row>
    <row r="20" spans="2:11" ht="4" customHeight="1" x14ac:dyDescent="0.2"/>
    <row r="21" spans="2:11" x14ac:dyDescent="0.2">
      <c r="B21" s="52" t="s">
        <v>104</v>
      </c>
      <c r="C21" s="53"/>
      <c r="H21" s="52" t="s">
        <v>114</v>
      </c>
      <c r="I21" s="53"/>
      <c r="J21" s="53"/>
      <c r="K21" s="53"/>
    </row>
    <row r="22" spans="2:11" x14ac:dyDescent="0.2">
      <c r="B22" t="s">
        <v>106</v>
      </c>
      <c r="C22" s="5" t="s">
        <v>76</v>
      </c>
      <c r="H22" s="50" t="s">
        <v>115</v>
      </c>
      <c r="K22" s="51">
        <v>2.1100000000000001E-2</v>
      </c>
    </row>
    <row r="23" spans="2:11" x14ac:dyDescent="0.2">
      <c r="B23" t="s">
        <v>107</v>
      </c>
      <c r="C23" s="51">
        <v>3.4799999999999998E-2</v>
      </c>
      <c r="H23" t="s">
        <v>116</v>
      </c>
      <c r="K23">
        <f>K33</f>
        <v>1.05</v>
      </c>
    </row>
    <row r="24" spans="2:11" x14ac:dyDescent="0.2">
      <c r="B24" t="s">
        <v>108</v>
      </c>
      <c r="C24" s="19">
        <v>0.21</v>
      </c>
      <c r="H24" t="s">
        <v>117</v>
      </c>
      <c r="K24" s="19">
        <v>0.06</v>
      </c>
    </row>
    <row r="25" spans="2:11" x14ac:dyDescent="0.2">
      <c r="B25" s="10" t="s">
        <v>109</v>
      </c>
      <c r="C25" s="46">
        <f>C23*(1-C24)</f>
        <v>2.7491999999999999E-2</v>
      </c>
      <c r="H25" s="10" t="s">
        <v>114</v>
      </c>
      <c r="I25" s="10"/>
      <c r="J25" s="10"/>
      <c r="K25" s="46">
        <f>K22+K23*K24</f>
        <v>8.4100000000000008E-2</v>
      </c>
    </row>
    <row r="28" spans="2:11" x14ac:dyDescent="0.2">
      <c r="B28" s="3" t="s">
        <v>110</v>
      </c>
      <c r="D28" s="47" t="s">
        <v>51</v>
      </c>
      <c r="E28" s="47" t="s">
        <v>111</v>
      </c>
      <c r="H28" s="52" t="s">
        <v>116</v>
      </c>
      <c r="I28" s="53"/>
      <c r="J28" s="53"/>
      <c r="K28" s="53"/>
    </row>
    <row r="29" spans="2:11" x14ac:dyDescent="0.2">
      <c r="B29" t="s">
        <v>13</v>
      </c>
      <c r="C29" s="15">
        <f>F15</f>
        <v>1854</v>
      </c>
      <c r="D29" s="26">
        <f>C29/$C$31</f>
        <v>0.14232241938901155</v>
      </c>
      <c r="E29" s="26">
        <f>I18</f>
        <v>0.23002833325816069</v>
      </c>
      <c r="H29" t="s">
        <v>120</v>
      </c>
      <c r="K29" s="25">
        <f>K18</f>
        <v>0.84950646698434318</v>
      </c>
    </row>
    <row r="30" spans="2:11" x14ac:dyDescent="0.2">
      <c r="B30" t="s">
        <v>112</v>
      </c>
      <c r="C30" s="15">
        <f>E15</f>
        <v>11172.76</v>
      </c>
      <c r="D30" s="26">
        <f>C30/$C$31</f>
        <v>0.85767758061098842</v>
      </c>
      <c r="E30" s="26">
        <f>E31-E29</f>
        <v>0.76997166674183926</v>
      </c>
      <c r="H30" t="s">
        <v>118</v>
      </c>
      <c r="K30" s="26">
        <f>E33</f>
        <v>0.29874908804311362</v>
      </c>
    </row>
    <row r="31" spans="2:11" x14ac:dyDescent="0.2">
      <c r="B31" s="10" t="s">
        <v>96</v>
      </c>
      <c r="C31" s="17">
        <f>SUM(C29:C30)</f>
        <v>13026.76</v>
      </c>
      <c r="D31" s="49">
        <f>SUM(D29:D30)</f>
        <v>1</v>
      </c>
      <c r="E31" s="49">
        <f>D31</f>
        <v>1</v>
      </c>
      <c r="H31" t="s">
        <v>119</v>
      </c>
      <c r="K31" s="2">
        <f>C24</f>
        <v>0.21</v>
      </c>
    </row>
    <row r="32" spans="2:11" ht="4" customHeight="1" x14ac:dyDescent="0.2"/>
    <row r="33" spans="2:11" x14ac:dyDescent="0.2">
      <c r="B33" s="3" t="s">
        <v>113</v>
      </c>
      <c r="C33" s="3"/>
      <c r="D33" s="27">
        <f>D29/D30</f>
        <v>0.1659393023747042</v>
      </c>
      <c r="E33" s="27">
        <f>E29/E30</f>
        <v>0.29874908804311362</v>
      </c>
      <c r="H33" s="10" t="s">
        <v>116</v>
      </c>
      <c r="I33" s="10"/>
      <c r="J33" s="10"/>
      <c r="K33" s="10">
        <f>K29*(1+(1-K31)*K30)</f>
        <v>1.05</v>
      </c>
    </row>
    <row r="36" spans="2:11" x14ac:dyDescent="0.2">
      <c r="B36" s="54" t="s">
        <v>121</v>
      </c>
      <c r="C36" s="55"/>
      <c r="D36" s="55"/>
      <c r="E36" s="55"/>
    </row>
    <row r="37" spans="2:11" ht="5" customHeight="1" x14ac:dyDescent="0.2"/>
    <row r="38" spans="2:11" x14ac:dyDescent="0.2">
      <c r="B38" t="s">
        <v>114</v>
      </c>
      <c r="E38" s="4">
        <f>K25</f>
        <v>8.4100000000000008E-2</v>
      </c>
    </row>
    <row r="39" spans="2:11" x14ac:dyDescent="0.2">
      <c r="B39" t="s">
        <v>122</v>
      </c>
      <c r="E39" s="26">
        <f>E30</f>
        <v>0.76997166674183926</v>
      </c>
    </row>
    <row r="40" spans="2:11" ht="5" customHeight="1" x14ac:dyDescent="0.2"/>
    <row r="41" spans="2:11" x14ac:dyDescent="0.2">
      <c r="B41" t="s">
        <v>104</v>
      </c>
      <c r="E41" s="4">
        <f>C25</f>
        <v>2.7491999999999999E-2</v>
      </c>
    </row>
    <row r="42" spans="2:11" x14ac:dyDescent="0.2">
      <c r="B42" t="s">
        <v>123</v>
      </c>
      <c r="E42" s="26">
        <f>E29</f>
        <v>0.23002833325816069</v>
      </c>
    </row>
    <row r="43" spans="2:11" ht="5" customHeight="1" thickBot="1" x14ac:dyDescent="0.25"/>
    <row r="44" spans="2:11" ht="16" thickBot="1" x14ac:dyDescent="0.25">
      <c r="B44" s="56" t="s">
        <v>124</v>
      </c>
      <c r="C44" s="57"/>
      <c r="D44" s="57"/>
      <c r="E44" s="58">
        <f>E38*E39+E41*E42</f>
        <v>7.107855611092205E-2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AA8F-6D7E-F042-940A-F1CD34E8AD4F}">
  <dimension ref="B2:L40"/>
  <sheetViews>
    <sheetView showGridLines="0" zoomScale="150" zoomScaleNormal="150" workbookViewId="0">
      <selection activeCell="B34" sqref="B34"/>
    </sheetView>
  </sheetViews>
  <sheetFormatPr baseColWidth="10" defaultRowHeight="15" x14ac:dyDescent="0.2"/>
  <cols>
    <col min="1" max="1" width="2.83203125" customWidth="1"/>
    <col min="2" max="2" width="36.6640625" bestFit="1" customWidth="1"/>
    <col min="12" max="12" width="13.5" bestFit="1" customWidth="1"/>
  </cols>
  <sheetData>
    <row r="2" spans="2:12" x14ac:dyDescent="0.2">
      <c r="B2" s="3" t="s">
        <v>79</v>
      </c>
    </row>
    <row r="4" spans="2:12" x14ac:dyDescent="0.2">
      <c r="C4" s="6">
        <f>'Financial Forecast (Ex-13)'!D2</f>
        <v>2019</v>
      </c>
      <c r="D4" s="6" t="str">
        <f>'Financial Forecast (Ex-13)'!E2</f>
        <v>2020F</v>
      </c>
      <c r="E4" s="6" t="str">
        <f>'Financial Forecast (Ex-13)'!F2</f>
        <v>2021F</v>
      </c>
      <c r="F4" s="6" t="str">
        <f>'Financial Forecast (Ex-13)'!G2</f>
        <v>2022F</v>
      </c>
      <c r="G4" s="6" t="str">
        <f>'Financial Forecast (Ex-13)'!H2</f>
        <v>2023F</v>
      </c>
      <c r="H4" s="6" t="str">
        <f>'Financial Forecast (Ex-13)'!I2</f>
        <v>2024F</v>
      </c>
      <c r="I4" s="6" t="str">
        <f>'Financial Forecast (Ex-13)'!J2</f>
        <v>2025F</v>
      </c>
      <c r="J4" s="6" t="str">
        <f>'Financial Forecast (Ex-13)'!K2</f>
        <v>2026F</v>
      </c>
      <c r="K4" s="6" t="str">
        <f>'Financial Forecast (Ex-13)'!L2</f>
        <v>2027F</v>
      </c>
      <c r="L4" s="6" t="s">
        <v>91</v>
      </c>
    </row>
    <row r="5" spans="2:12" x14ac:dyDescent="0.2">
      <c r="B5" t="s">
        <v>81</v>
      </c>
      <c r="C5" s="15">
        <f>'Financial Forecast (Ex-13)'!D35</f>
        <v>769</v>
      </c>
      <c r="D5" s="15">
        <f>'Financial Forecast (Ex-13)'!E35</f>
        <v>855</v>
      </c>
      <c r="E5" s="15">
        <f>'Financial Forecast (Ex-13)'!F35</f>
        <v>901</v>
      </c>
      <c r="F5" s="15">
        <f>'Financial Forecast (Ex-13)'!G35</f>
        <v>949</v>
      </c>
      <c r="G5" s="15">
        <f>'Financial Forecast (Ex-13)'!H35</f>
        <v>1001</v>
      </c>
      <c r="H5" s="15">
        <f>'Financial Forecast (Ex-13)'!I35</f>
        <v>915</v>
      </c>
      <c r="I5" s="15">
        <f>'Financial Forecast (Ex-13)'!J35</f>
        <v>943</v>
      </c>
      <c r="J5" s="15">
        <f>'Financial Forecast (Ex-13)'!K35</f>
        <v>971</v>
      </c>
      <c r="K5" s="15">
        <f>'Financial Forecast (Ex-13)'!L35</f>
        <v>1000</v>
      </c>
    </row>
    <row r="6" spans="2:12" x14ac:dyDescent="0.2">
      <c r="B6" t="s">
        <v>82</v>
      </c>
      <c r="C6" s="19">
        <v>0.21</v>
      </c>
      <c r="D6" s="2">
        <f>C6</f>
        <v>0.21</v>
      </c>
      <c r="E6" s="2">
        <f t="shared" ref="E6:K6" si="0">D6</f>
        <v>0.21</v>
      </c>
      <c r="F6" s="2">
        <f t="shared" si="0"/>
        <v>0.21</v>
      </c>
      <c r="G6" s="2">
        <f t="shared" si="0"/>
        <v>0.21</v>
      </c>
      <c r="H6" s="2">
        <f t="shared" si="0"/>
        <v>0.21</v>
      </c>
      <c r="I6" s="2">
        <f t="shared" si="0"/>
        <v>0.21</v>
      </c>
      <c r="J6" s="2">
        <f t="shared" si="0"/>
        <v>0.21</v>
      </c>
      <c r="K6" s="2">
        <f t="shared" si="0"/>
        <v>0.21</v>
      </c>
    </row>
    <row r="7" spans="2:12" x14ac:dyDescent="0.2">
      <c r="B7" s="20" t="s">
        <v>83</v>
      </c>
      <c r="C7" s="16">
        <f>C5*(1-C6)</f>
        <v>607.51</v>
      </c>
      <c r="D7" s="16">
        <f t="shared" ref="D7:K7" si="1">D5*(1-D6)</f>
        <v>675.45</v>
      </c>
      <c r="E7" s="16">
        <f t="shared" si="1"/>
        <v>711.79000000000008</v>
      </c>
      <c r="F7" s="16">
        <f t="shared" si="1"/>
        <v>749.71</v>
      </c>
      <c r="G7" s="16">
        <f t="shared" si="1"/>
        <v>790.79000000000008</v>
      </c>
      <c r="H7" s="16">
        <f t="shared" si="1"/>
        <v>722.85</v>
      </c>
      <c r="I7" s="16">
        <f t="shared" si="1"/>
        <v>744.97</v>
      </c>
      <c r="J7" s="16">
        <f t="shared" si="1"/>
        <v>767.09</v>
      </c>
      <c r="K7" s="16">
        <f t="shared" si="1"/>
        <v>790</v>
      </c>
    </row>
    <row r="8" spans="2:12" x14ac:dyDescent="0.2">
      <c r="B8" s="21" t="s">
        <v>84</v>
      </c>
      <c r="C8" s="15">
        <f>'Financial Forecast (Ex-13)'!D40</f>
        <v>227</v>
      </c>
      <c r="D8" s="15">
        <f>'Financial Forecast (Ex-13)'!E40</f>
        <v>239</v>
      </c>
      <c r="E8" s="15">
        <f>'Financial Forecast (Ex-13)'!F40</f>
        <v>251</v>
      </c>
      <c r="F8" s="15">
        <f>'Financial Forecast (Ex-13)'!G40</f>
        <v>264</v>
      </c>
      <c r="G8" s="15">
        <f>'Financial Forecast (Ex-13)'!H40</f>
        <v>278</v>
      </c>
      <c r="H8" s="15">
        <f>'Financial Forecast (Ex-13)'!I40</f>
        <v>286</v>
      </c>
      <c r="I8" s="15">
        <f>'Financial Forecast (Ex-13)'!J40</f>
        <v>295</v>
      </c>
      <c r="J8" s="15">
        <f>'Financial Forecast (Ex-13)'!K40</f>
        <v>304</v>
      </c>
      <c r="K8" s="15">
        <f>'Financial Forecast (Ex-13)'!L40</f>
        <v>313</v>
      </c>
    </row>
    <row r="9" spans="2:12" x14ac:dyDescent="0.2">
      <c r="B9" s="21" t="s">
        <v>86</v>
      </c>
      <c r="C9" s="15">
        <f>'Financial Forecast (Ex-13)'!D45</f>
        <v>236</v>
      </c>
      <c r="D9" s="15">
        <f>'Financial Forecast (Ex-13)'!E45</f>
        <v>188</v>
      </c>
      <c r="E9" s="15">
        <f>'Financial Forecast (Ex-13)'!F45</f>
        <v>198</v>
      </c>
      <c r="F9" s="15">
        <f>'Financial Forecast (Ex-13)'!G45</f>
        <v>208</v>
      </c>
      <c r="G9" s="15">
        <f>'Financial Forecast (Ex-13)'!H45</f>
        <v>218</v>
      </c>
      <c r="H9" s="15">
        <f>'Financial Forecast (Ex-13)'!I45</f>
        <v>250</v>
      </c>
      <c r="I9" s="15">
        <f>'Financial Forecast (Ex-13)'!J45</f>
        <v>258</v>
      </c>
      <c r="J9" s="15">
        <f>'Financial Forecast (Ex-13)'!K45</f>
        <v>265</v>
      </c>
      <c r="K9" s="15">
        <f>'Financial Forecast (Ex-13)'!L45</f>
        <v>274</v>
      </c>
    </row>
    <row r="10" spans="2:12" x14ac:dyDescent="0.2">
      <c r="B10" s="21" t="s">
        <v>87</v>
      </c>
      <c r="C10" s="15">
        <f>'Financial Forecast (Ex-13)'!D44</f>
        <v>-25</v>
      </c>
      <c r="D10" s="15">
        <f>'Financial Forecast (Ex-13)'!E44</f>
        <v>155</v>
      </c>
      <c r="E10" s="15">
        <f>'Financial Forecast (Ex-13)'!F44</f>
        <v>164</v>
      </c>
      <c r="F10" s="15">
        <f>'Financial Forecast (Ex-13)'!G44</f>
        <v>173</v>
      </c>
      <c r="G10" s="15">
        <f>'Financial Forecast (Ex-13)'!H44</f>
        <v>183</v>
      </c>
      <c r="H10" s="15">
        <f>'Financial Forecast (Ex-13)'!I44</f>
        <v>111</v>
      </c>
      <c r="I10" s="15">
        <f>'Financial Forecast (Ex-13)'!J44</f>
        <v>114</v>
      </c>
      <c r="J10" s="15">
        <f>'Financial Forecast (Ex-13)'!K44</f>
        <v>117</v>
      </c>
      <c r="K10" s="15">
        <f>'Financial Forecast (Ex-13)'!L44</f>
        <v>121</v>
      </c>
    </row>
    <row r="11" spans="2:12" ht="5" customHeight="1" x14ac:dyDescent="0.2"/>
    <row r="12" spans="2:12" x14ac:dyDescent="0.2">
      <c r="B12" s="10" t="s">
        <v>88</v>
      </c>
      <c r="C12" s="17">
        <f>C7+C8-C9-C10</f>
        <v>623.51</v>
      </c>
      <c r="D12" s="17">
        <f t="shared" ref="D12:K12" si="2">D7+D8-D9-D10</f>
        <v>571.45000000000005</v>
      </c>
      <c r="E12" s="17">
        <f t="shared" si="2"/>
        <v>600.79000000000008</v>
      </c>
      <c r="F12" s="17">
        <f t="shared" si="2"/>
        <v>632.71</v>
      </c>
      <c r="G12" s="17">
        <f t="shared" si="2"/>
        <v>667.79</v>
      </c>
      <c r="H12" s="17">
        <f t="shared" si="2"/>
        <v>647.85</v>
      </c>
      <c r="I12" s="17">
        <f t="shared" si="2"/>
        <v>667.97</v>
      </c>
      <c r="J12" s="17">
        <f t="shared" si="2"/>
        <v>689.09000000000015</v>
      </c>
      <c r="K12" s="17">
        <f t="shared" si="2"/>
        <v>708</v>
      </c>
    </row>
    <row r="13" spans="2:12" ht="5" customHeight="1" x14ac:dyDescent="0.2"/>
    <row r="14" spans="2:12" x14ac:dyDescent="0.2">
      <c r="B14" t="s">
        <v>89</v>
      </c>
      <c r="D14">
        <v>0.5</v>
      </c>
      <c r="E14">
        <f>D14+1</f>
        <v>1.5</v>
      </c>
      <c r="F14">
        <f t="shared" ref="F14:K14" si="3">E14+1</f>
        <v>2.5</v>
      </c>
      <c r="G14">
        <f t="shared" si="3"/>
        <v>3.5</v>
      </c>
      <c r="H14">
        <f t="shared" si="3"/>
        <v>4.5</v>
      </c>
      <c r="I14">
        <f t="shared" si="3"/>
        <v>5.5</v>
      </c>
      <c r="J14">
        <f t="shared" si="3"/>
        <v>6.5</v>
      </c>
      <c r="K14">
        <f t="shared" si="3"/>
        <v>7.5</v>
      </c>
      <c r="L14" s="22">
        <f>K14+0.5</f>
        <v>8</v>
      </c>
    </row>
    <row r="15" spans="2:12" x14ac:dyDescent="0.2">
      <c r="B15" t="s">
        <v>90</v>
      </c>
      <c r="D15" s="25">
        <f>1/(1+$C$20)^D14</f>
        <v>0.96624962365006983</v>
      </c>
      <c r="E15" s="25">
        <f t="shared" ref="E15:K15" si="4">1/(1+$C$20)^E14</f>
        <v>0.90212769001604776</v>
      </c>
      <c r="F15" s="25">
        <f t="shared" si="4"/>
        <v>0.84226099464792437</v>
      </c>
      <c r="G15" s="25">
        <f t="shared" si="4"/>
        <v>0.78636715285027048</v>
      </c>
      <c r="H15" s="25">
        <f t="shared" si="4"/>
        <v>0.73418251944615864</v>
      </c>
      <c r="I15" s="25">
        <f t="shared" si="4"/>
        <v>0.68546094519151779</v>
      </c>
      <c r="J15" s="25">
        <f t="shared" si="4"/>
        <v>0.63997261571590158</v>
      </c>
      <c r="K15" s="25">
        <f t="shared" si="4"/>
        <v>0.59750296751308074</v>
      </c>
      <c r="L15" s="25">
        <f>1/(1+$C$20)^L14</f>
        <v>0.57733701748931421</v>
      </c>
    </row>
    <row r="16" spans="2:12" ht="5" customHeight="1" x14ac:dyDescent="0.2"/>
    <row r="17" spans="2:12" x14ac:dyDescent="0.2">
      <c r="B17" s="64" t="s">
        <v>126</v>
      </c>
      <c r="C17" s="62"/>
      <c r="D17" s="63">
        <f>D12*D15</f>
        <v>552.16334743483242</v>
      </c>
      <c r="E17" s="63">
        <f t="shared" ref="E17:K17" si="5">E12*E15</f>
        <v>541.98929488474141</v>
      </c>
      <c r="F17" s="63">
        <f t="shared" si="5"/>
        <v>532.90695392368821</v>
      </c>
      <c r="G17" s="63">
        <f t="shared" si="5"/>
        <v>525.12812100188205</v>
      </c>
      <c r="H17" s="63">
        <f t="shared" si="5"/>
        <v>475.64014522319388</v>
      </c>
      <c r="I17" s="63">
        <f t="shared" si="5"/>
        <v>457.86734755957815</v>
      </c>
      <c r="J17" s="63">
        <f t="shared" si="5"/>
        <v>440.99872976367072</v>
      </c>
      <c r="K17" s="65">
        <f t="shared" si="5"/>
        <v>423.03210099926116</v>
      </c>
      <c r="L17" s="25"/>
    </row>
    <row r="18" spans="2:12" x14ac:dyDescent="0.2">
      <c r="D18" s="25"/>
      <c r="E18" s="25"/>
      <c r="F18" s="25"/>
      <c r="G18" s="25"/>
      <c r="H18" s="25"/>
      <c r="I18" s="25"/>
      <c r="J18" s="25"/>
      <c r="K18" s="25"/>
      <c r="L18" s="25"/>
    </row>
    <row r="19" spans="2:12" x14ac:dyDescent="0.2">
      <c r="B19" s="18" t="s">
        <v>127</v>
      </c>
      <c r="D19" s="25"/>
      <c r="E19" s="25"/>
      <c r="F19" s="25"/>
      <c r="G19" s="25"/>
      <c r="H19" s="25"/>
      <c r="I19" s="25"/>
      <c r="J19" s="25"/>
      <c r="K19" s="25"/>
      <c r="L19" s="25"/>
    </row>
    <row r="20" spans="2:12" x14ac:dyDescent="0.2">
      <c r="B20" t="s">
        <v>124</v>
      </c>
      <c r="C20" s="59">
        <v>7.107855611092205E-2</v>
      </c>
    </row>
    <row r="21" spans="2:12" x14ac:dyDescent="0.2">
      <c r="B21" t="s">
        <v>125</v>
      </c>
      <c r="C21" s="4">
        <v>2.5000000000000001E-2</v>
      </c>
    </row>
    <row r="22" spans="2:12" ht="5" customHeight="1" x14ac:dyDescent="0.2"/>
    <row r="23" spans="2:12" x14ac:dyDescent="0.2">
      <c r="B23" s="18" t="s">
        <v>128</v>
      </c>
    </row>
    <row r="24" spans="2:12" x14ac:dyDescent="0.2">
      <c r="B24" t="s">
        <v>129</v>
      </c>
      <c r="C24" s="15">
        <f>K12*(1+C21)</f>
        <v>725.69999999999993</v>
      </c>
    </row>
    <row r="25" spans="2:12" x14ac:dyDescent="0.2">
      <c r="B25" t="s">
        <v>128</v>
      </c>
      <c r="C25" s="15">
        <f>C24/(C20-C21)</f>
        <v>15749.191408104614</v>
      </c>
    </row>
    <row r="26" spans="2:12" x14ac:dyDescent="0.2">
      <c r="B26" s="3" t="s">
        <v>130</v>
      </c>
      <c r="C26" s="48">
        <f>C25*L15</f>
        <v>9092.5911954234507</v>
      </c>
    </row>
    <row r="27" spans="2:12" ht="5" customHeight="1" x14ac:dyDescent="0.2"/>
    <row r="28" spans="2:12" x14ac:dyDescent="0.2">
      <c r="B28" s="18" t="s">
        <v>131</v>
      </c>
    </row>
    <row r="29" spans="2:12" x14ac:dyDescent="0.2">
      <c r="B29" t="s">
        <v>132</v>
      </c>
      <c r="C29" s="15">
        <f>SUM(D17:K17)</f>
        <v>3949.7260407908484</v>
      </c>
    </row>
    <row r="30" spans="2:12" x14ac:dyDescent="0.2">
      <c r="B30" t="s">
        <v>130</v>
      </c>
      <c r="C30" s="15">
        <f>C26</f>
        <v>9092.5911954234507</v>
      </c>
    </row>
    <row r="31" spans="2:12" x14ac:dyDescent="0.2">
      <c r="B31" s="10" t="s">
        <v>131</v>
      </c>
      <c r="C31" s="17">
        <f>SUM(C29:C30)</f>
        <v>13042.3172362143</v>
      </c>
    </row>
    <row r="32" spans="2:12" ht="5" customHeight="1" x14ac:dyDescent="0.2"/>
    <row r="33" spans="2:11" x14ac:dyDescent="0.2">
      <c r="B33" s="18" t="s">
        <v>133</v>
      </c>
    </row>
    <row r="34" spans="2:11" x14ac:dyDescent="0.2">
      <c r="B34" t="s">
        <v>131</v>
      </c>
      <c r="C34" s="15">
        <f>C31</f>
        <v>13042.3172362143</v>
      </c>
      <c r="G34" s="71" t="s">
        <v>124</v>
      </c>
      <c r="H34" s="71"/>
      <c r="I34" s="71"/>
      <c r="J34" s="71"/>
      <c r="K34" s="71"/>
    </row>
    <row r="35" spans="2:11" ht="15" customHeight="1" x14ac:dyDescent="0.2">
      <c r="B35" t="s">
        <v>13</v>
      </c>
      <c r="C35" s="15">
        <f>'Financial Statement (Ex-12)'!G17</f>
        <v>997</v>
      </c>
      <c r="F35" s="88">
        <f>C39</f>
        <v>105.23210849355983</v>
      </c>
      <c r="G35" s="89">
        <v>5.6078556110922058E-2</v>
      </c>
      <c r="H35" s="89">
        <v>6.3578556110922058E-2</v>
      </c>
      <c r="I35" s="89">
        <v>7.107855611092205E-2</v>
      </c>
      <c r="J35" s="89">
        <v>7.8578556110922043E-2</v>
      </c>
      <c r="K35" s="89">
        <v>8.607855611092205E-2</v>
      </c>
    </row>
    <row r="36" spans="2:11" ht="17" customHeight="1" thickBot="1" x14ac:dyDescent="0.25">
      <c r="B36" t="s">
        <v>134</v>
      </c>
      <c r="C36" s="15">
        <f>'Financial Statement (Ex-12)'!G13</f>
        <v>793</v>
      </c>
      <c r="E36" s="86" t="s">
        <v>152</v>
      </c>
      <c r="F36" s="87">
        <v>1.4999999999999999E-2</v>
      </c>
      <c r="G36" s="25">
        <f t="dataTable" ref="G36:K40" dt2D="1" dtr="1" r1="C20" r2="C21"/>
        <v>125.1696061144508</v>
      </c>
      <c r="H36" s="25">
        <v>105.63223061241153</v>
      </c>
      <c r="I36" s="25">
        <v>91.344467826829998</v>
      </c>
      <c r="J36" s="25">
        <v>80.44651160643987</v>
      </c>
      <c r="K36" s="91">
        <v>71.863686348948292</v>
      </c>
    </row>
    <row r="37" spans="2:11" x14ac:dyDescent="0.2">
      <c r="B37" s="68" t="s">
        <v>133</v>
      </c>
      <c r="C37" s="69">
        <f>C34-C35+C36</f>
        <v>12838.3172362143</v>
      </c>
      <c r="E37" s="86"/>
      <c r="F37" s="87">
        <v>0.02</v>
      </c>
      <c r="G37" s="25">
        <v>138.53265456407738</v>
      </c>
      <c r="H37" s="25">
        <v>114.53528415057171</v>
      </c>
      <c r="I37" s="25">
        <v>97.608568443932214</v>
      </c>
      <c r="J37" s="25">
        <v>85.034598528101199</v>
      </c>
      <c r="K37" s="25">
        <v>75.329583070684194</v>
      </c>
    </row>
    <row r="38" spans="2:11" x14ac:dyDescent="0.2">
      <c r="B38" t="s">
        <v>94</v>
      </c>
      <c r="C38">
        <f>'Comparable Comps'!D25</f>
        <v>122</v>
      </c>
      <c r="E38" s="86"/>
      <c r="F38" s="87">
        <v>2.5000000000000001E-2</v>
      </c>
      <c r="G38" s="25">
        <v>156.19546790687744</v>
      </c>
      <c r="H38" s="25">
        <v>125.74611030535385</v>
      </c>
      <c r="I38" s="39">
        <v>105.23210849355983</v>
      </c>
      <c r="J38" s="25">
        <v>90.479014409461001</v>
      </c>
      <c r="K38" s="25">
        <v>79.362928819119659</v>
      </c>
    </row>
    <row r="39" spans="2:11" x14ac:dyDescent="0.2">
      <c r="B39" s="67" t="s">
        <v>135</v>
      </c>
      <c r="C39" s="66">
        <f>C37/C38</f>
        <v>105.23210849355983</v>
      </c>
      <c r="E39" s="86"/>
      <c r="F39" s="87">
        <v>3.0000000000000002E-2</v>
      </c>
      <c r="G39" s="25">
        <v>180.63120735328283</v>
      </c>
      <c r="H39" s="25">
        <v>140.29562264954478</v>
      </c>
      <c r="I39" s="25">
        <v>114.71149275276538</v>
      </c>
      <c r="J39" s="25">
        <v>97.04417498091172</v>
      </c>
      <c r="K39" s="25">
        <v>84.115505950841381</v>
      </c>
    </row>
    <row r="40" spans="2:11" x14ac:dyDescent="0.2">
      <c r="E40" s="86"/>
      <c r="F40" s="87">
        <v>3.5000000000000003E-2</v>
      </c>
      <c r="G40" s="90">
        <v>216.65964760794895</v>
      </c>
      <c r="H40" s="25">
        <v>159.93619427878838</v>
      </c>
      <c r="I40" s="25">
        <v>126.81830595620625</v>
      </c>
      <c r="J40" s="25">
        <v>105.11584727678492</v>
      </c>
      <c r="K40" s="25">
        <v>89.798527772777362</v>
      </c>
    </row>
  </sheetData>
  <mergeCells count="1">
    <mergeCell ref="E36:E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8657-B122-2D42-AAC5-B06BBE5F9663}">
  <dimension ref="B2:R44"/>
  <sheetViews>
    <sheetView showGridLines="0" zoomScale="150" zoomScaleNormal="150" workbookViewId="0">
      <selection activeCell="F29" sqref="F29"/>
    </sheetView>
  </sheetViews>
  <sheetFormatPr baseColWidth="10" defaultRowHeight="15" x14ac:dyDescent="0.2"/>
  <cols>
    <col min="1" max="1" width="3.33203125" customWidth="1"/>
    <col min="2" max="2" width="25.83203125" customWidth="1"/>
    <col min="8" max="8" width="14" bestFit="1" customWidth="1"/>
    <col min="9" max="9" width="3.83203125" customWidth="1"/>
    <col min="14" max="14" width="3.83203125" customWidth="1"/>
  </cols>
  <sheetData>
    <row r="2" spans="2:18" ht="32" x14ac:dyDescent="0.2">
      <c r="B2" s="82" t="s">
        <v>138</v>
      </c>
    </row>
    <row r="3" spans="2:18" x14ac:dyDescent="0.2">
      <c r="B3" s="3"/>
    </row>
    <row r="4" spans="2:18" x14ac:dyDescent="0.2">
      <c r="B4" s="3"/>
    </row>
    <row r="5" spans="2:18" x14ac:dyDescent="0.2">
      <c r="C5" s="54" t="s">
        <v>140</v>
      </c>
      <c r="D5" s="54"/>
      <c r="E5" s="54"/>
      <c r="F5" s="54"/>
      <c r="G5" s="54"/>
      <c r="H5" s="54"/>
      <c r="J5" s="54" t="s">
        <v>141</v>
      </c>
      <c r="K5" s="54"/>
      <c r="L5" s="54"/>
      <c r="M5" s="54"/>
      <c r="O5" s="54" t="s">
        <v>142</v>
      </c>
      <c r="P5" s="54"/>
      <c r="Q5" s="54"/>
      <c r="R5" s="54"/>
    </row>
    <row r="6" spans="2:18" ht="4" customHeight="1" x14ac:dyDescent="0.2">
      <c r="C6" s="72"/>
      <c r="D6" s="72"/>
      <c r="E6" s="72"/>
      <c r="F6" s="72"/>
      <c r="G6" s="72"/>
      <c r="H6" s="72"/>
      <c r="J6" s="72"/>
      <c r="K6" s="72"/>
      <c r="L6" s="72"/>
      <c r="M6" s="72"/>
      <c r="O6" s="72"/>
      <c r="P6" s="72"/>
      <c r="Q6" s="72"/>
      <c r="R6" s="72"/>
    </row>
    <row r="7" spans="2:18" x14ac:dyDescent="0.2">
      <c r="B7" s="3" t="s">
        <v>93</v>
      </c>
      <c r="C7" s="6" t="s">
        <v>139</v>
      </c>
      <c r="D7" s="6" t="s">
        <v>94</v>
      </c>
      <c r="E7" s="6" t="s">
        <v>95</v>
      </c>
      <c r="F7" s="6" t="s">
        <v>13</v>
      </c>
      <c r="G7" s="6" t="s">
        <v>134</v>
      </c>
      <c r="H7" s="6" t="s">
        <v>131</v>
      </c>
      <c r="I7" s="6"/>
      <c r="J7" s="6" t="s">
        <v>49</v>
      </c>
      <c r="K7" s="6" t="s">
        <v>50</v>
      </c>
      <c r="L7" s="6" t="s">
        <v>77</v>
      </c>
      <c r="M7" s="6" t="s">
        <v>78</v>
      </c>
      <c r="N7" s="6"/>
      <c r="O7" s="6" t="s">
        <v>143</v>
      </c>
      <c r="P7" s="6" t="s">
        <v>144</v>
      </c>
      <c r="Q7" s="6" t="s">
        <v>145</v>
      </c>
      <c r="R7" s="6" t="s">
        <v>146</v>
      </c>
    </row>
    <row r="8" spans="2:18" x14ac:dyDescent="0.2">
      <c r="B8" t="str">
        <f>'Comparable Comps'!B4</f>
        <v>Burberry Group plc</v>
      </c>
      <c r="C8" s="36">
        <f>'Comparable Comps'!C17</f>
        <v>24.59</v>
      </c>
      <c r="D8" s="15">
        <f>'Comparable Comps'!D17</f>
        <v>413</v>
      </c>
      <c r="E8" s="15">
        <f>C8*D8</f>
        <v>10155.67</v>
      </c>
      <c r="F8" s="15">
        <f>'Comparable Comps'!E17</f>
        <v>873</v>
      </c>
      <c r="G8" s="15">
        <v>1250</v>
      </c>
      <c r="H8" s="15">
        <f>E8+F8-G8</f>
        <v>9778.67</v>
      </c>
      <c r="J8" s="15">
        <f>'Comparable Comps'!C4</f>
        <v>3548</v>
      </c>
      <c r="K8" s="15">
        <f>'Comparable Comps'!D4</f>
        <v>925</v>
      </c>
      <c r="L8" s="15">
        <f>'Comparable Comps'!E4</f>
        <v>605</v>
      </c>
      <c r="M8" s="15">
        <f>'Comparable Comps'!F4</f>
        <v>456</v>
      </c>
      <c r="O8" s="73">
        <f>$H8/J8</f>
        <v>2.7561076662908679</v>
      </c>
      <c r="P8" s="73">
        <f t="shared" ref="P8:P16" si="0">$H8/K8</f>
        <v>10.571535135135136</v>
      </c>
      <c r="Q8" s="73">
        <f t="shared" ref="Q8:Q16" si="1">$H8/L8</f>
        <v>16.163090909090908</v>
      </c>
      <c r="R8" s="73">
        <f>$E8/M8</f>
        <v>22.271206140350877</v>
      </c>
    </row>
    <row r="9" spans="2:18" x14ac:dyDescent="0.2">
      <c r="B9" t="str">
        <f>'Comparable Comps'!B5</f>
        <v>Capri Holdings Limited</v>
      </c>
      <c r="C9" s="36">
        <f>'Comparable Comps'!C18</f>
        <v>30.97</v>
      </c>
      <c r="D9" s="15">
        <f>'Comparable Comps'!D18</f>
        <v>152</v>
      </c>
      <c r="E9" s="15">
        <f t="shared" ref="E9:E16" si="2">C9*D9</f>
        <v>4707.4399999999996</v>
      </c>
      <c r="F9" s="15">
        <f>'Comparable Comps'!E18</f>
        <v>3562</v>
      </c>
      <c r="G9" s="15">
        <v>163</v>
      </c>
      <c r="H9" s="15">
        <f t="shared" ref="H9:H16" si="3">E9+F9-G9</f>
        <v>8106.4399999999987</v>
      </c>
      <c r="J9" s="15">
        <f>'Comparable Comps'!C5</f>
        <v>5571</v>
      </c>
      <c r="K9" s="15">
        <f>'Comparable Comps'!D5</f>
        <v>640</v>
      </c>
      <c r="L9" s="15">
        <f>'Comparable Comps'!E5</f>
        <v>441</v>
      </c>
      <c r="M9" s="15">
        <f>'Comparable Comps'!F5</f>
        <v>337</v>
      </c>
      <c r="O9" s="73">
        <f t="shared" ref="O9:O16" si="4">$H9/J9</f>
        <v>1.4551139831269069</v>
      </c>
      <c r="P9" s="73">
        <f t="shared" si="0"/>
        <v>12.666312499999998</v>
      </c>
      <c r="Q9" s="73">
        <f t="shared" si="1"/>
        <v>18.381950113378682</v>
      </c>
      <c r="R9" s="73">
        <f t="shared" ref="R9:R16" si="5">$E9/M9</f>
        <v>13.968664688427298</v>
      </c>
    </row>
    <row r="10" spans="2:18" x14ac:dyDescent="0.2">
      <c r="B10" t="str">
        <f>'Comparable Comps'!B6</f>
        <v>Kering SA</v>
      </c>
      <c r="C10" s="36">
        <f>'Comparable Comps'!C19</f>
        <v>530.96</v>
      </c>
      <c r="D10" s="15">
        <f>'Comparable Comps'!D19</f>
        <v>126</v>
      </c>
      <c r="E10" s="15">
        <f t="shared" si="2"/>
        <v>66900.960000000006</v>
      </c>
      <c r="F10" s="15">
        <f>'Comparable Comps'!E19</f>
        <v>6170</v>
      </c>
      <c r="G10" s="15">
        <v>5310</v>
      </c>
      <c r="H10" s="15">
        <f t="shared" si="3"/>
        <v>67760.960000000006</v>
      </c>
      <c r="J10" s="15">
        <f>'Comparable Comps'!C6</f>
        <v>16772</v>
      </c>
      <c r="K10" s="15">
        <f>'Comparable Comps'!D6</f>
        <v>5997</v>
      </c>
      <c r="L10" s="15">
        <f>'Comparable Comps'!E6</f>
        <v>4612</v>
      </c>
      <c r="M10" s="15">
        <f>'Comparable Comps'!F6</f>
        <v>2284</v>
      </c>
      <c r="O10" s="73">
        <f t="shared" si="4"/>
        <v>4.0401240162175061</v>
      </c>
      <c r="P10" s="73">
        <f t="shared" si="0"/>
        <v>11.299142904785727</v>
      </c>
      <c r="Q10" s="73">
        <f t="shared" si="1"/>
        <v>14.692315698178666</v>
      </c>
      <c r="R10" s="73">
        <f t="shared" si="5"/>
        <v>29.291138353765326</v>
      </c>
    </row>
    <row r="11" spans="2:18" x14ac:dyDescent="0.2">
      <c r="B11" t="str">
        <f>'Comparable Comps'!B7</f>
        <v>Pandora A/S</v>
      </c>
      <c r="C11" s="36">
        <f>'Comparable Comps'!C20</f>
        <v>40.43</v>
      </c>
      <c r="D11" s="15">
        <f>'Comparable Comps'!D20</f>
        <v>92</v>
      </c>
      <c r="E11" s="15">
        <f t="shared" si="2"/>
        <v>3719.56</v>
      </c>
      <c r="F11" s="15">
        <f>'Comparable Comps'!E20</f>
        <v>6963</v>
      </c>
      <c r="G11" s="15">
        <v>215</v>
      </c>
      <c r="H11" s="15">
        <f t="shared" si="3"/>
        <v>10467.56</v>
      </c>
      <c r="J11" s="15">
        <f>'Comparable Comps'!C7</f>
        <v>3294</v>
      </c>
      <c r="K11" s="15">
        <f>'Comparable Comps'!D7</f>
        <v>1061</v>
      </c>
      <c r="L11" s="15">
        <f>'Comparable Comps'!E7</f>
        <v>628</v>
      </c>
      <c r="M11" s="15">
        <f>'Comparable Comps'!F7</f>
        <v>468</v>
      </c>
      <c r="O11" s="73">
        <f t="shared" si="4"/>
        <v>3.1777656344869456</v>
      </c>
      <c r="P11" s="73">
        <f t="shared" si="0"/>
        <v>9.8657492931196984</v>
      </c>
      <c r="Q11" s="73">
        <f t="shared" si="1"/>
        <v>16.668089171974522</v>
      </c>
      <c r="R11" s="73">
        <f t="shared" si="5"/>
        <v>7.9477777777777776</v>
      </c>
    </row>
    <row r="12" spans="2:18" x14ac:dyDescent="0.2">
      <c r="B12" t="str">
        <f>'Comparable Comps'!B8</f>
        <v>Prada S.p.A.</v>
      </c>
      <c r="C12" s="36">
        <f>'Comparable Comps'!C21</f>
        <v>3.1</v>
      </c>
      <c r="D12" s="15">
        <f>'Comparable Comps'!D21</f>
        <v>2559</v>
      </c>
      <c r="E12" s="15">
        <f t="shared" si="2"/>
        <v>7932.9000000000005</v>
      </c>
      <c r="F12" s="15">
        <f>'Comparable Comps'!E21</f>
        <v>23149</v>
      </c>
      <c r="G12" s="15">
        <v>585</v>
      </c>
      <c r="H12" s="15">
        <f t="shared" si="3"/>
        <v>30496.9</v>
      </c>
      <c r="J12" s="15">
        <f>'Comparable Comps'!C8</f>
        <v>3624</v>
      </c>
      <c r="K12" s="15">
        <f>'Comparable Comps'!D8</f>
        <v>998</v>
      </c>
      <c r="L12" s="15">
        <f>'Comparable Comps'!E8</f>
        <v>352</v>
      </c>
      <c r="M12" s="15">
        <f>'Comparable Comps'!F8</f>
        <v>290</v>
      </c>
      <c r="O12" s="73">
        <f t="shared" si="4"/>
        <v>8.4152593818984549</v>
      </c>
      <c r="P12" s="73">
        <f t="shared" si="0"/>
        <v>30.558016032064131</v>
      </c>
      <c r="Q12" s="73">
        <f t="shared" si="1"/>
        <v>86.638920454545456</v>
      </c>
      <c r="R12" s="73">
        <f t="shared" si="5"/>
        <v>27.354827586206898</v>
      </c>
    </row>
    <row r="13" spans="2:18" x14ac:dyDescent="0.2">
      <c r="B13" t="str">
        <f>'Comparable Comps'!B9</f>
        <v>Ralph Lauren Corporation</v>
      </c>
      <c r="C13" s="36">
        <f>'Comparable Comps'!C22</f>
        <v>95.08</v>
      </c>
      <c r="D13" s="15">
        <f>'Comparable Comps'!D22</f>
        <v>79</v>
      </c>
      <c r="E13" s="15">
        <f t="shared" si="2"/>
        <v>7511.32</v>
      </c>
      <c r="F13" s="15">
        <f>'Comparable Comps'!E22</f>
        <v>2244</v>
      </c>
      <c r="G13" s="15">
        <v>2100</v>
      </c>
      <c r="H13" s="15">
        <f t="shared" si="3"/>
        <v>7655.32</v>
      </c>
      <c r="J13" s="15">
        <f>'Comparable Comps'!C9</f>
        <v>6367</v>
      </c>
      <c r="K13" s="15">
        <f>'Comparable Comps'!D9</f>
        <v>1080</v>
      </c>
      <c r="L13" s="15">
        <f>'Comparable Comps'!E9</f>
        <v>647</v>
      </c>
      <c r="M13" s="15">
        <f>'Comparable Comps'!F9</f>
        <v>451</v>
      </c>
      <c r="O13" s="73">
        <f t="shared" si="4"/>
        <v>1.2023433328098005</v>
      </c>
      <c r="P13" s="73">
        <f t="shared" si="0"/>
        <v>7.0882592592592593</v>
      </c>
      <c r="Q13" s="73">
        <f t="shared" si="1"/>
        <v>11.832024729520866</v>
      </c>
      <c r="R13" s="73">
        <f t="shared" si="5"/>
        <v>16.654811529933479</v>
      </c>
    </row>
    <row r="14" spans="2:18" x14ac:dyDescent="0.2">
      <c r="B14" t="str">
        <f>'Comparable Comps'!B10</f>
        <v>Tapestry, Inc.</v>
      </c>
      <c r="C14" s="36">
        <f>'Comparable Comps'!C23</f>
        <v>25.44</v>
      </c>
      <c r="D14" s="15">
        <f>'Comparable Comps'!D23</f>
        <v>286</v>
      </c>
      <c r="E14" s="15">
        <f t="shared" si="2"/>
        <v>7275.84</v>
      </c>
      <c r="F14" s="15">
        <f>'Comparable Comps'!E23</f>
        <v>3568</v>
      </c>
      <c r="G14" s="15">
        <v>1250</v>
      </c>
      <c r="H14" s="15">
        <f t="shared" si="3"/>
        <v>9593.84</v>
      </c>
      <c r="J14" s="15">
        <f>'Comparable Comps'!C10</f>
        <v>6004</v>
      </c>
      <c r="K14" s="15">
        <f>'Comparable Comps'!D10</f>
        <v>1052</v>
      </c>
      <c r="L14" s="15">
        <f>'Comparable Comps'!E10</f>
        <v>695</v>
      </c>
      <c r="M14" s="15">
        <f>'Comparable Comps'!F10</f>
        <v>541</v>
      </c>
      <c r="O14" s="73">
        <f t="shared" si="4"/>
        <v>1.5979080612924716</v>
      </c>
      <c r="P14" s="73">
        <f t="shared" si="0"/>
        <v>9.1196197718631176</v>
      </c>
      <c r="Q14" s="73">
        <f t="shared" si="1"/>
        <v>13.804086330935252</v>
      </c>
      <c r="R14" s="73">
        <f t="shared" si="5"/>
        <v>13.448872458410351</v>
      </c>
    </row>
    <row r="15" spans="2:18" x14ac:dyDescent="0.2">
      <c r="B15" t="str">
        <f>'Comparable Comps'!B11</f>
        <v>LVMH Moét Hennessy Louis Vuitton</v>
      </c>
      <c r="C15" s="36">
        <f>'Comparable Comps'!C24</f>
        <v>416.57</v>
      </c>
      <c r="D15" s="15">
        <f>'Comparable Comps'!D24</f>
        <v>505</v>
      </c>
      <c r="E15" s="15">
        <f t="shared" si="2"/>
        <v>210367.85</v>
      </c>
      <c r="F15" s="15">
        <f>'Comparable Comps'!E24</f>
        <v>15727</v>
      </c>
      <c r="G15" s="15">
        <v>6030</v>
      </c>
      <c r="H15" s="15">
        <f t="shared" si="3"/>
        <v>220064.85</v>
      </c>
      <c r="J15" s="15">
        <f>'Comparable Comps'!C11</f>
        <v>56568</v>
      </c>
      <c r="K15" s="15">
        <f>'Comparable Comps'!D11</f>
        <v>16304</v>
      </c>
      <c r="L15" s="15">
        <f>'Comparable Comps'!E11</f>
        <v>11563</v>
      </c>
      <c r="M15" s="15">
        <f>'Comparable Comps'!F11</f>
        <v>7464</v>
      </c>
      <c r="O15" s="73">
        <f t="shared" si="4"/>
        <v>3.8902710012728043</v>
      </c>
      <c r="P15" s="73">
        <f t="shared" si="0"/>
        <v>13.497598748773308</v>
      </c>
      <c r="Q15" s="73">
        <f t="shared" si="1"/>
        <v>19.031812678370667</v>
      </c>
      <c r="R15" s="73">
        <f t="shared" si="5"/>
        <v>28.18433145766345</v>
      </c>
    </row>
    <row r="16" spans="2:18" x14ac:dyDescent="0.2">
      <c r="B16" s="83" t="str">
        <f>'Comparable Comps'!B12</f>
        <v>Tiffany &amp; co.</v>
      </c>
      <c r="C16" s="37">
        <f>'Comparable Comps'!C25</f>
        <v>91.58</v>
      </c>
      <c r="D16" s="38">
        <f>'Comparable Comps'!D25</f>
        <v>122</v>
      </c>
      <c r="E16" s="38">
        <f t="shared" si="2"/>
        <v>11172.76</v>
      </c>
      <c r="F16" s="38">
        <f>'Comparable Comps'!E25</f>
        <v>1854</v>
      </c>
      <c r="G16" s="38">
        <f>'Financial Statement (Ex-12)'!G13</f>
        <v>793</v>
      </c>
      <c r="H16" s="38">
        <f t="shared" si="3"/>
        <v>12233.76</v>
      </c>
      <c r="I16" s="83"/>
      <c r="J16" s="38">
        <f>'Comparable Comps'!C12</f>
        <v>4385</v>
      </c>
      <c r="K16" s="38">
        <f>'Comparable Comps'!D12</f>
        <v>967</v>
      </c>
      <c r="L16" s="38">
        <f>'Comparable Comps'!E12</f>
        <v>738</v>
      </c>
      <c r="M16" s="38">
        <f>'Comparable Comps'!F12</f>
        <v>561</v>
      </c>
      <c r="N16" s="83"/>
      <c r="O16" s="84">
        <f t="shared" si="4"/>
        <v>2.7899110604332953</v>
      </c>
      <c r="P16" s="84">
        <f t="shared" si="0"/>
        <v>12.651251292657705</v>
      </c>
      <c r="Q16" s="84">
        <f t="shared" si="1"/>
        <v>16.576910569105692</v>
      </c>
      <c r="R16" s="84">
        <f t="shared" si="5"/>
        <v>19.915793226381464</v>
      </c>
    </row>
    <row r="18" spans="2:18" ht="16" thickBot="1" x14ac:dyDescent="0.25"/>
    <row r="19" spans="2:18" x14ac:dyDescent="0.2">
      <c r="M19" s="74" t="s">
        <v>102</v>
      </c>
      <c r="N19" s="75"/>
      <c r="O19" s="76">
        <f>AVERAGE(O8:O16)</f>
        <v>3.2583115708698944</v>
      </c>
      <c r="P19" s="76">
        <f t="shared" ref="P19:R19" si="6">AVERAGE(P8:P16)</f>
        <v>13.035276104184231</v>
      </c>
      <c r="Q19" s="76">
        <f t="shared" si="6"/>
        <v>23.754355628344527</v>
      </c>
      <c r="R19" s="77">
        <f t="shared" si="6"/>
        <v>19.893047024324105</v>
      </c>
    </row>
    <row r="20" spans="2:18" x14ac:dyDescent="0.2">
      <c r="M20" s="94" t="s">
        <v>103</v>
      </c>
      <c r="N20" s="92"/>
      <c r="O20" s="93">
        <f>MEDIAN(O8:O16)</f>
        <v>2.7899110604332953</v>
      </c>
      <c r="P20" s="93">
        <f t="shared" ref="P20:R20" si="7">MEDIAN(P8:P16)</f>
        <v>11.299142904785727</v>
      </c>
      <c r="Q20" s="93">
        <f t="shared" si="7"/>
        <v>16.576910569105692</v>
      </c>
      <c r="R20" s="95">
        <f t="shared" si="7"/>
        <v>19.915793226381464</v>
      </c>
    </row>
    <row r="21" spans="2:18" x14ac:dyDescent="0.2">
      <c r="M21" s="94" t="s">
        <v>156</v>
      </c>
      <c r="N21" s="92"/>
      <c r="O21" s="93">
        <f>MIN(O8:O16)</f>
        <v>1.2023433328098005</v>
      </c>
      <c r="P21" s="93">
        <f t="shared" ref="P21:R21" si="8">MIN(P8:P16)</f>
        <v>7.0882592592592593</v>
      </c>
      <c r="Q21" s="93">
        <f t="shared" si="8"/>
        <v>11.832024729520866</v>
      </c>
      <c r="R21" s="95">
        <f t="shared" si="8"/>
        <v>7.9477777777777776</v>
      </c>
    </row>
    <row r="22" spans="2:18" ht="16" thickBot="1" x14ac:dyDescent="0.25">
      <c r="M22" s="78" t="s">
        <v>157</v>
      </c>
      <c r="N22" s="79"/>
      <c r="O22" s="80">
        <f>MAX(O8:O16)</f>
        <v>8.4152593818984549</v>
      </c>
      <c r="P22" s="80">
        <f t="shared" ref="P22:R22" si="9">MAX(P8:P16)</f>
        <v>30.558016032064131</v>
      </c>
      <c r="Q22" s="80">
        <f t="shared" si="9"/>
        <v>86.638920454545456</v>
      </c>
      <c r="R22" s="81">
        <f t="shared" si="9"/>
        <v>29.291138353765326</v>
      </c>
    </row>
    <row r="25" spans="2:18" x14ac:dyDescent="0.2">
      <c r="B25" s="96" t="s">
        <v>147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97" t="s">
        <v>143</v>
      </c>
      <c r="P25" s="97" t="s">
        <v>144</v>
      </c>
      <c r="Q25" s="97" t="s">
        <v>145</v>
      </c>
      <c r="R25" s="97" t="s">
        <v>146</v>
      </c>
    </row>
    <row r="26" spans="2:18" x14ac:dyDescent="0.2">
      <c r="B26" s="83" t="s">
        <v>148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38">
        <f>O19*J16</f>
        <v>14287.696238264487</v>
      </c>
      <c r="P26" s="38">
        <f>P19*K16</f>
        <v>12605.111992746151</v>
      </c>
      <c r="Q26" s="38">
        <f>Q19*L16</f>
        <v>17530.714453718261</v>
      </c>
      <c r="R26" s="38">
        <f>R29+R27-R28</f>
        <v>12220.999380645822</v>
      </c>
    </row>
    <row r="27" spans="2:18" x14ac:dyDescent="0.2">
      <c r="B27" s="83" t="s">
        <v>13</v>
      </c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38">
        <f>F16</f>
        <v>1854</v>
      </c>
      <c r="P27" s="38">
        <f>O27</f>
        <v>1854</v>
      </c>
      <c r="Q27" s="38">
        <f>P27</f>
        <v>1854</v>
      </c>
      <c r="R27" s="38">
        <f>Q27</f>
        <v>1854</v>
      </c>
    </row>
    <row r="28" spans="2:18" x14ac:dyDescent="0.2">
      <c r="B28" s="83" t="s">
        <v>134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38">
        <f>G16</f>
        <v>793</v>
      </c>
      <c r="P28" s="38">
        <f>O28</f>
        <v>793</v>
      </c>
      <c r="Q28" s="38">
        <f>P28</f>
        <v>793</v>
      </c>
      <c r="R28" s="38">
        <f>Q28</f>
        <v>793</v>
      </c>
    </row>
    <row r="29" spans="2:18" x14ac:dyDescent="0.2">
      <c r="B29" s="83" t="s">
        <v>149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38">
        <f>O26-O27+O28</f>
        <v>13226.696238264487</v>
      </c>
      <c r="P29" s="38">
        <f>P26-P27+P28</f>
        <v>11544.111992746151</v>
      </c>
      <c r="Q29" s="38">
        <f>Q26-Q27+Q28</f>
        <v>16469.714453718261</v>
      </c>
      <c r="R29" s="38">
        <f>R19*M16</f>
        <v>11159.999380645822</v>
      </c>
    </row>
    <row r="30" spans="2:18" x14ac:dyDescent="0.2">
      <c r="B30" s="98" t="s">
        <v>150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9">
        <f>O29/$D$16</f>
        <v>108.41554293659415</v>
      </c>
      <c r="P30" s="99">
        <f>P29/$D$16</f>
        <v>94.623868793001236</v>
      </c>
      <c r="Q30" s="99">
        <f>Q29/$D$16</f>
        <v>134.99765945670705</v>
      </c>
      <c r="R30" s="99">
        <f>R29/$D$16</f>
        <v>91.475404759391992</v>
      </c>
    </row>
    <row r="32" spans="2:18" x14ac:dyDescent="0.2">
      <c r="B32" t="s">
        <v>159</v>
      </c>
      <c r="O32" s="6" t="s">
        <v>143</v>
      </c>
      <c r="P32" s="6" t="s">
        <v>144</v>
      </c>
      <c r="Q32" s="6" t="s">
        <v>145</v>
      </c>
      <c r="R32" s="6" t="s">
        <v>146</v>
      </c>
    </row>
    <row r="33" spans="2:18" x14ac:dyDescent="0.2">
      <c r="B33" t="s">
        <v>148</v>
      </c>
      <c r="O33" s="15">
        <f>O22*J16</f>
        <v>36900.912389624726</v>
      </c>
      <c r="P33" s="15">
        <f t="shared" ref="P33:Q33" si="10">P22*K16</f>
        <v>29549.601503006015</v>
      </c>
      <c r="Q33" s="15">
        <f t="shared" si="10"/>
        <v>63939.52329545455</v>
      </c>
      <c r="R33" s="15">
        <f>R36+R34-R35</f>
        <v>17493.32861646235</v>
      </c>
    </row>
    <row r="34" spans="2:18" x14ac:dyDescent="0.2">
      <c r="B34" t="s">
        <v>13</v>
      </c>
      <c r="O34" s="15">
        <f>F16</f>
        <v>1854</v>
      </c>
      <c r="P34" s="15">
        <f>O34</f>
        <v>1854</v>
      </c>
      <c r="Q34" s="15">
        <f>P34</f>
        <v>1854</v>
      </c>
      <c r="R34" s="15">
        <f>Q34</f>
        <v>1854</v>
      </c>
    </row>
    <row r="35" spans="2:18" x14ac:dyDescent="0.2">
      <c r="B35" t="s">
        <v>134</v>
      </c>
      <c r="O35" s="15">
        <f>G16</f>
        <v>793</v>
      </c>
      <c r="P35" s="15">
        <f>O35</f>
        <v>793</v>
      </c>
      <c r="Q35" s="15">
        <f>P35</f>
        <v>793</v>
      </c>
      <c r="R35" s="15">
        <f>Q35</f>
        <v>793</v>
      </c>
    </row>
    <row r="36" spans="2:18" x14ac:dyDescent="0.2">
      <c r="B36" t="s">
        <v>149</v>
      </c>
      <c r="O36" s="15">
        <f>O33+O35-O34</f>
        <v>35839.912389624726</v>
      </c>
      <c r="P36" s="15">
        <f t="shared" ref="P36:Q36" si="11">P33+P35-P34</f>
        <v>28488.601503006015</v>
      </c>
      <c r="Q36" s="15">
        <f t="shared" si="11"/>
        <v>62878.52329545455</v>
      </c>
      <c r="R36" s="15">
        <f>R22*M16</f>
        <v>16432.32861646235</v>
      </c>
    </row>
    <row r="37" spans="2:18" x14ac:dyDescent="0.2">
      <c r="B37" s="60" t="s">
        <v>150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30">
        <f>O36/$D$16</f>
        <v>293.76977368544857</v>
      </c>
      <c r="P37" s="30">
        <f t="shared" ref="P37:R37" si="12">P36/$D$16</f>
        <v>233.51312707381979</v>
      </c>
      <c r="Q37" s="30">
        <f t="shared" si="12"/>
        <v>515.39773192995528</v>
      </c>
      <c r="R37" s="30">
        <f t="shared" si="12"/>
        <v>134.69121816772417</v>
      </c>
    </row>
    <row r="39" spans="2:18" x14ac:dyDescent="0.2">
      <c r="B39" t="s">
        <v>160</v>
      </c>
      <c r="O39" s="6" t="s">
        <v>143</v>
      </c>
      <c r="P39" s="6" t="s">
        <v>144</v>
      </c>
      <c r="Q39" s="6" t="s">
        <v>145</v>
      </c>
      <c r="R39" s="6" t="s">
        <v>146</v>
      </c>
    </row>
    <row r="40" spans="2:18" x14ac:dyDescent="0.2">
      <c r="B40" t="s">
        <v>148</v>
      </c>
      <c r="O40" s="15">
        <f>O21*J16</f>
        <v>5272.2755143709755</v>
      </c>
      <c r="P40" s="15">
        <f>P21*K16</f>
        <v>6854.3467037037035</v>
      </c>
      <c r="Q40" s="15">
        <f>Q21*L16</f>
        <v>8732.0342503863994</v>
      </c>
      <c r="R40" s="15">
        <f>R43+R41-R42</f>
        <v>5519.7033333333329</v>
      </c>
    </row>
    <row r="41" spans="2:18" x14ac:dyDescent="0.2">
      <c r="B41" t="s">
        <v>13</v>
      </c>
      <c r="O41" s="15">
        <f>F16</f>
        <v>1854</v>
      </c>
      <c r="P41" s="15">
        <f>O41</f>
        <v>1854</v>
      </c>
      <c r="Q41" s="15">
        <f>P41</f>
        <v>1854</v>
      </c>
      <c r="R41" s="15">
        <f>Q41</f>
        <v>1854</v>
      </c>
    </row>
    <row r="42" spans="2:18" x14ac:dyDescent="0.2">
      <c r="B42" t="s">
        <v>134</v>
      </c>
      <c r="O42" s="15">
        <f>G16</f>
        <v>793</v>
      </c>
      <c r="P42" s="15">
        <f>O42</f>
        <v>793</v>
      </c>
      <c r="Q42" s="15">
        <f>P42</f>
        <v>793</v>
      </c>
      <c r="R42" s="15">
        <f>Q42</f>
        <v>793</v>
      </c>
    </row>
    <row r="43" spans="2:18" x14ac:dyDescent="0.2">
      <c r="B43" t="s">
        <v>149</v>
      </c>
      <c r="O43" s="15">
        <f>O40+O42-O41</f>
        <v>4211.2755143709755</v>
      </c>
      <c r="P43" s="15">
        <f t="shared" ref="P43" si="13">P40+P42-P41</f>
        <v>5793.3467037037035</v>
      </c>
      <c r="Q43" s="15">
        <f t="shared" ref="Q43" si="14">Q40+Q42-Q41</f>
        <v>7671.0342503863994</v>
      </c>
      <c r="R43" s="15">
        <f>R21*M16</f>
        <v>4458.7033333333329</v>
      </c>
    </row>
    <row r="44" spans="2:18" x14ac:dyDescent="0.2">
      <c r="B44" s="60" t="s">
        <v>150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30">
        <f>O43/$D$16</f>
        <v>34.518651757139146</v>
      </c>
      <c r="P44" s="30">
        <f t="shared" ref="P44" si="15">P43/$D$16</f>
        <v>47.486448391013965</v>
      </c>
      <c r="Q44" s="30">
        <f t="shared" ref="Q44" si="16">Q43/$D$16</f>
        <v>62.877329921199994</v>
      </c>
      <c r="R44" s="30">
        <f t="shared" ref="R44" si="17">R43/$D$16</f>
        <v>36.54674863387978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D256-AA51-D141-B6EA-900291DE5209}">
  <dimension ref="B2:F25"/>
  <sheetViews>
    <sheetView showGridLines="0" zoomScale="130" zoomScaleNormal="130" workbookViewId="0">
      <selection activeCell="C24" sqref="C24"/>
    </sheetView>
  </sheetViews>
  <sheetFormatPr baseColWidth="10" defaultRowHeight="15" x14ac:dyDescent="0.2"/>
  <cols>
    <col min="1" max="1" width="2.83203125" customWidth="1"/>
    <col min="2" max="2" width="24.33203125" customWidth="1"/>
  </cols>
  <sheetData>
    <row r="2" spans="2:6" x14ac:dyDescent="0.2">
      <c r="B2" t="s">
        <v>153</v>
      </c>
    </row>
    <row r="4" spans="2:6" x14ac:dyDescent="0.2">
      <c r="B4" s="3" t="s">
        <v>154</v>
      </c>
      <c r="C4" s="6" t="s">
        <v>156</v>
      </c>
      <c r="D4" s="6" t="s">
        <v>158</v>
      </c>
      <c r="E4" s="6" t="s">
        <v>157</v>
      </c>
      <c r="F4" s="6" t="s">
        <v>161</v>
      </c>
    </row>
    <row r="5" spans="2:6" x14ac:dyDescent="0.2">
      <c r="B5" t="s">
        <v>155</v>
      </c>
      <c r="C5" s="25">
        <f>DCF!K36</f>
        <v>71.863686348948292</v>
      </c>
      <c r="D5" s="25">
        <f>DCF!I38</f>
        <v>105.23210849355983</v>
      </c>
      <c r="E5" s="25">
        <f>DCF!G40</f>
        <v>216.65964760794895</v>
      </c>
      <c r="F5" s="2">
        <v>0.2</v>
      </c>
    </row>
    <row r="6" spans="2:6" x14ac:dyDescent="0.2">
      <c r="B6" t="s">
        <v>143</v>
      </c>
      <c r="C6" s="25">
        <f>'Comparable Comps Valuation'!O44</f>
        <v>34.518651757139146</v>
      </c>
      <c r="D6" s="25">
        <f>'Comparable Comps Valuation'!O30</f>
        <v>108.41554293659415</v>
      </c>
      <c r="E6" s="25">
        <f>'Comparable Comps Valuation'!O37</f>
        <v>293.76977368544857</v>
      </c>
      <c r="F6" s="2">
        <v>0.2</v>
      </c>
    </row>
    <row r="7" spans="2:6" x14ac:dyDescent="0.2">
      <c r="B7" t="s">
        <v>144</v>
      </c>
      <c r="C7" s="25">
        <f>'Comparable Comps Valuation'!P44</f>
        <v>47.486448391013965</v>
      </c>
      <c r="D7" s="25">
        <f>'Comparable Comps Valuation'!P30</f>
        <v>94.623868793001236</v>
      </c>
      <c r="E7" s="25">
        <f>'Comparable Comps Valuation'!P37</f>
        <v>233.51312707381979</v>
      </c>
      <c r="F7" s="2">
        <v>0.2</v>
      </c>
    </row>
    <row r="8" spans="2:6" x14ac:dyDescent="0.2">
      <c r="B8" t="s">
        <v>145</v>
      </c>
      <c r="C8" s="25">
        <f>'Comparable Comps Valuation'!Q44</f>
        <v>62.877329921199994</v>
      </c>
      <c r="D8" s="25">
        <f>'Comparable Comps Valuation'!Q30</f>
        <v>134.99765945670705</v>
      </c>
      <c r="E8" s="25">
        <f>'Comparable Comps Valuation'!Q37</f>
        <v>515.39773192995528</v>
      </c>
      <c r="F8" s="2">
        <v>0.2</v>
      </c>
    </row>
    <row r="9" spans="2:6" x14ac:dyDescent="0.2">
      <c r="B9" t="s">
        <v>146</v>
      </c>
      <c r="C9" s="25">
        <f>'Comparable Comps Valuation'!R44</f>
        <v>36.54674863387978</v>
      </c>
      <c r="D9" s="25">
        <f>'Comparable Comps Valuation'!R30</f>
        <v>91.475404759391992</v>
      </c>
      <c r="E9" s="25">
        <f>'Comparable Comps Valuation'!R37</f>
        <v>134.69121816772417</v>
      </c>
      <c r="F9" s="2">
        <v>0.2</v>
      </c>
    </row>
    <row r="10" spans="2:6" x14ac:dyDescent="0.2">
      <c r="D10" s="100">
        <f>SUMPRODUCT(D5:D9,F5:F9)</f>
        <v>106.94891688785087</v>
      </c>
      <c r="F10" s="2">
        <f>SUM(F5:F9)</f>
        <v>1</v>
      </c>
    </row>
    <row r="13" spans="2:6" x14ac:dyDescent="0.2">
      <c r="B13" s="3" t="s">
        <v>154</v>
      </c>
      <c r="C13" s="5" t="s">
        <v>162</v>
      </c>
      <c r="D13" s="5" t="s">
        <v>157</v>
      </c>
      <c r="E13" s="5" t="s">
        <v>156</v>
      </c>
      <c r="F13" s="5" t="s">
        <v>163</v>
      </c>
    </row>
    <row r="14" spans="2:6" x14ac:dyDescent="0.2">
      <c r="B14" t="s">
        <v>155</v>
      </c>
      <c r="C14" s="25">
        <f>D5</f>
        <v>105.23210849355983</v>
      </c>
      <c r="D14" s="25">
        <f>E5</f>
        <v>216.65964760794895</v>
      </c>
      <c r="E14" s="25">
        <f>C5</f>
        <v>71.863686348948292</v>
      </c>
      <c r="F14" s="25">
        <f>E14</f>
        <v>71.863686348948292</v>
      </c>
    </row>
    <row r="15" spans="2:6" x14ac:dyDescent="0.2">
      <c r="B15" t="s">
        <v>143</v>
      </c>
      <c r="C15" s="25">
        <f t="shared" ref="C15:D15" si="0">D6</f>
        <v>108.41554293659415</v>
      </c>
      <c r="D15" s="25">
        <f t="shared" si="0"/>
        <v>293.76977368544857</v>
      </c>
      <c r="E15" s="25">
        <f t="shared" ref="E15:E18" si="1">C6</f>
        <v>34.518651757139146</v>
      </c>
      <c r="F15" s="25">
        <f t="shared" ref="F15:F18" si="2">E15</f>
        <v>34.518651757139146</v>
      </c>
    </row>
    <row r="16" spans="2:6" x14ac:dyDescent="0.2">
      <c r="B16" t="s">
        <v>144</v>
      </c>
      <c r="C16" s="25">
        <f t="shared" ref="C16:D16" si="3">D7</f>
        <v>94.623868793001236</v>
      </c>
      <c r="D16" s="25">
        <f t="shared" si="3"/>
        <v>233.51312707381979</v>
      </c>
      <c r="E16" s="25">
        <f t="shared" si="1"/>
        <v>47.486448391013965</v>
      </c>
      <c r="F16" s="25">
        <f t="shared" si="2"/>
        <v>47.486448391013965</v>
      </c>
    </row>
    <row r="17" spans="2:6" x14ac:dyDescent="0.2">
      <c r="B17" t="s">
        <v>145</v>
      </c>
      <c r="C17" s="25">
        <f t="shared" ref="C17:D17" si="4">D8</f>
        <v>134.99765945670705</v>
      </c>
      <c r="D17" s="25">
        <f t="shared" si="4"/>
        <v>515.39773192995528</v>
      </c>
      <c r="E17" s="25">
        <f t="shared" si="1"/>
        <v>62.877329921199994</v>
      </c>
      <c r="F17" s="25">
        <f t="shared" si="2"/>
        <v>62.877329921199994</v>
      </c>
    </row>
    <row r="18" spans="2:6" x14ac:dyDescent="0.2">
      <c r="B18" t="s">
        <v>146</v>
      </c>
      <c r="C18" s="25">
        <f t="shared" ref="C18:D18" si="5">D9</f>
        <v>91.475404759391992</v>
      </c>
      <c r="D18" s="25">
        <f t="shared" si="5"/>
        <v>134.69121816772417</v>
      </c>
      <c r="E18" s="25">
        <f t="shared" si="1"/>
        <v>36.54674863387978</v>
      </c>
      <c r="F18" s="25">
        <f t="shared" si="2"/>
        <v>36.54674863387978</v>
      </c>
    </row>
    <row r="21" spans="2:6" x14ac:dyDescent="0.2">
      <c r="B21" s="18" t="s">
        <v>166</v>
      </c>
    </row>
    <row r="22" spans="2:6" x14ac:dyDescent="0.2">
      <c r="B22" t="s">
        <v>164</v>
      </c>
      <c r="D22" s="101">
        <f>D10*(1+30%)</f>
        <v>139.03359195420614</v>
      </c>
    </row>
    <row r="23" spans="2:6" x14ac:dyDescent="0.2">
      <c r="B23" t="s">
        <v>94</v>
      </c>
      <c r="D23" s="15">
        <f>'Comparable Comps'!D25</f>
        <v>122</v>
      </c>
    </row>
    <row r="24" spans="2:6" x14ac:dyDescent="0.2">
      <c r="B24" s="10" t="s">
        <v>165</v>
      </c>
      <c r="C24" s="10"/>
      <c r="D24" s="17">
        <f>D22*D23</f>
        <v>16962.09821841315</v>
      </c>
      <c r="E24" s="48"/>
    </row>
    <row r="25" spans="2:6" x14ac:dyDescent="0.2">
      <c r="D25" s="4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Financial Statement (Ex-12)</vt:lpstr>
      <vt:lpstr>Comparable Comps</vt:lpstr>
      <vt:lpstr>Financial Forecast (Ex-13)</vt:lpstr>
      <vt:lpstr>WACC</vt:lpstr>
      <vt:lpstr>DCF</vt:lpstr>
      <vt:lpstr>Comparable Comps Valuation</vt:lpstr>
      <vt:lpstr>Valuation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Mahavir Khanter</dc:creator>
  <cp:lastModifiedBy>Yash Mahavir Khanter</cp:lastModifiedBy>
  <dcterms:created xsi:type="dcterms:W3CDTF">2025-10-30T03:02:02Z</dcterms:created>
  <dcterms:modified xsi:type="dcterms:W3CDTF">2025-10-31T05:50:57Z</dcterms:modified>
</cp:coreProperties>
</file>